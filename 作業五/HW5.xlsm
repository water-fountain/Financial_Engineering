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8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4F23D415-ECB3-41DF-8418-D6700F9657E3}" xr6:coauthVersionLast="36" xr6:coauthVersionMax="36" xr10:uidLastSave="{00000000-0000-0000-0000-000000000000}"/>
  <bookViews>
    <workbookView xWindow="0" yWindow="0" windowWidth="23040" windowHeight="9000" firstSheet="1" activeTab="2" xr2:uid="{00000000-000D-0000-FFFF-FFFF00000000}"/>
  </bookViews>
  <sheets>
    <sheet name="RSpline" sheetId="3" state="hidden" r:id="rId1"/>
    <sheet name="InputR" sheetId="5" r:id="rId2"/>
    <sheet name="HullWhite" sheetId="6" r:id="rId3"/>
  </sheets>
  <functionGroups builtInGroupCount="19"/>
  <externalReferences>
    <externalReference r:id="rId4"/>
  </externalReferences>
  <definedNames>
    <definedName name="k">#REF!</definedName>
    <definedName name="S0">#REF!</definedName>
    <definedName name="S00">'[1]股價模擬2 用 MC 證明 GBM'!$B$4</definedName>
    <definedName name="T">#REF!</definedName>
    <definedName name="vol">#REF!</definedName>
  </definedNames>
  <calcPr calcId="191029"/>
</workbook>
</file>

<file path=xl/calcChain.xml><?xml version="1.0" encoding="utf-8"?>
<calcChain xmlns="http://schemas.openxmlformats.org/spreadsheetml/2006/main">
  <c r="K14" i="6" l="1"/>
  <c r="M6" i="6"/>
  <c r="K26" i="6"/>
  <c r="K19" i="6" l="1"/>
  <c r="K11" i="6"/>
  <c r="P11" i="6" s="1"/>
  <c r="K23" i="6"/>
  <c r="K27" i="6"/>
  <c r="K15" i="6"/>
  <c r="K12" i="6"/>
  <c r="K16" i="6"/>
  <c r="K20" i="6"/>
  <c r="K24" i="6"/>
  <c r="K28" i="6"/>
  <c r="K13" i="6"/>
  <c r="K17" i="6"/>
  <c r="K21" i="6"/>
  <c r="K25" i="6"/>
  <c r="K29" i="6"/>
  <c r="K10" i="6"/>
  <c r="P28" i="6" s="1"/>
  <c r="K18" i="6"/>
  <c r="K22" i="6"/>
  <c r="P26" i="6" l="1"/>
  <c r="P27" i="6"/>
  <c r="P14" i="6"/>
  <c r="P16" i="6"/>
  <c r="P24" i="6"/>
  <c r="P19" i="6"/>
  <c r="P29" i="6"/>
  <c r="P20" i="6"/>
  <c r="P10" i="6"/>
  <c r="P17" i="6"/>
  <c r="P13" i="6"/>
  <c r="P21" i="6"/>
  <c r="P15" i="6"/>
  <c r="P22" i="6"/>
  <c r="P12" i="6"/>
  <c r="P23" i="6"/>
  <c r="P25" i="6"/>
  <c r="P18" i="6"/>
  <c r="B1" i="6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I940" i="5"/>
  <c r="I941" i="5"/>
  <c r="I942" i="5"/>
  <c r="I943" i="5"/>
  <c r="I944" i="5"/>
  <c r="I945" i="5"/>
  <c r="I946" i="5"/>
  <c r="I947" i="5"/>
  <c r="I948" i="5"/>
  <c r="I949" i="5"/>
  <c r="I950" i="5"/>
  <c r="I951" i="5"/>
  <c r="I952" i="5"/>
  <c r="I953" i="5"/>
  <c r="I954" i="5"/>
  <c r="I955" i="5"/>
  <c r="I956" i="5"/>
  <c r="I957" i="5"/>
  <c r="I958" i="5"/>
  <c r="I959" i="5"/>
  <c r="I960" i="5"/>
  <c r="I961" i="5"/>
  <c r="I962" i="5"/>
  <c r="I963" i="5"/>
  <c r="I964" i="5"/>
  <c r="I965" i="5"/>
  <c r="I966" i="5"/>
  <c r="I967" i="5"/>
  <c r="I968" i="5"/>
  <c r="I969" i="5"/>
  <c r="I970" i="5"/>
  <c r="I971" i="5"/>
  <c r="I972" i="5"/>
  <c r="I973" i="5"/>
  <c r="I974" i="5"/>
  <c r="I975" i="5"/>
  <c r="I976" i="5"/>
  <c r="I977" i="5"/>
  <c r="I978" i="5"/>
  <c r="I979" i="5"/>
  <c r="I980" i="5"/>
  <c r="I981" i="5"/>
  <c r="I982" i="5"/>
  <c r="I983" i="5"/>
  <c r="I984" i="5"/>
  <c r="I985" i="5"/>
  <c r="I986" i="5"/>
  <c r="I987" i="5"/>
  <c r="I988" i="5"/>
  <c r="I989" i="5"/>
  <c r="I990" i="5"/>
  <c r="I991" i="5"/>
  <c r="I992" i="5"/>
  <c r="I993" i="5"/>
  <c r="I994" i="5"/>
  <c r="I995" i="5"/>
  <c r="I996" i="5"/>
  <c r="I997" i="5"/>
  <c r="I998" i="5"/>
  <c r="I999" i="5"/>
  <c r="I1000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3" i="5"/>
  <c r="J2" i="5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F2" i="5"/>
  <c r="S4" i="3"/>
  <c r="S2" i="3"/>
  <c r="P6" i="6" l="1"/>
  <c r="E15" i="6"/>
  <c r="E13" i="6"/>
</calcChain>
</file>

<file path=xl/sharedStrings.xml><?xml version="1.0" encoding="utf-8"?>
<sst xmlns="http://schemas.openxmlformats.org/spreadsheetml/2006/main" count="56" uniqueCount="52">
  <si>
    <t>Coupon Rate</t>
  </si>
  <si>
    <t>Price</t>
  </si>
  <si>
    <t>Maturity</t>
  </si>
  <si>
    <t>Next Pmt</t>
  </si>
  <si>
    <t>Remaining Pmt</t>
  </si>
  <si>
    <t>Knots</t>
  </si>
  <si>
    <t>Weights</t>
  </si>
  <si>
    <t>Coupon Details (Bolded are items to be read)</t>
  </si>
  <si>
    <t>t(i)</t>
  </si>
  <si>
    <t>coef(i)</t>
  </si>
  <si>
    <t>Fitted</t>
  </si>
  <si>
    <t>a</t>
  </si>
  <si>
    <t>b</t>
  </si>
  <si>
    <t>c</t>
  </si>
  <si>
    <t>d(i)</t>
  </si>
  <si>
    <t>t</t>
    <phoneticPr fontId="2" type="noConversion"/>
  </si>
  <si>
    <t>r(t)</t>
    <phoneticPr fontId="2" type="noConversion"/>
  </si>
  <si>
    <t>P(0, t)</t>
    <phoneticPr fontId="2" type="noConversion"/>
  </si>
  <si>
    <t>% Error</t>
  </si>
  <si>
    <t>Average Price Error</t>
    <phoneticPr fontId="3" type="noConversion"/>
  </si>
  <si>
    <t>Max Pricing Error</t>
    <phoneticPr fontId="3" type="noConversion"/>
  </si>
  <si>
    <t>Forward Rate Curve</t>
    <phoneticPr fontId="2" type="noConversion"/>
  </si>
  <si>
    <t>Instantaneous</t>
    <phoneticPr fontId="2" type="noConversion"/>
  </si>
  <si>
    <t>Yield Curve</t>
    <phoneticPr fontId="2" type="noConversion"/>
  </si>
  <si>
    <t>Freq</t>
    <phoneticPr fontId="2" type="noConversion"/>
  </si>
  <si>
    <t>Clean</t>
    <phoneticPr fontId="2" type="noConversion"/>
  </si>
  <si>
    <t>Dirty</t>
    <phoneticPr fontId="2" type="noConversion"/>
  </si>
  <si>
    <t>Derivative of Forward Rate (df/dt)</t>
  </si>
  <si>
    <t>r0</t>
  </si>
  <si>
    <t>sigma</t>
  </si>
  <si>
    <t>N</t>
  </si>
  <si>
    <t>t0</t>
    <phoneticPr fontId="2" type="noConversion"/>
  </si>
  <si>
    <t>t1</t>
    <phoneticPr fontId="2" type="noConversion"/>
  </si>
  <si>
    <t>Convention 1: no adjustment on negative r</t>
    <phoneticPr fontId="2" type="noConversion"/>
  </si>
  <si>
    <t>Convention 2: r:=0 for r&lt;0</t>
    <phoneticPr fontId="2" type="noConversion"/>
  </si>
  <si>
    <t>Bond Price</t>
    <phoneticPr fontId="2" type="noConversion"/>
  </si>
  <si>
    <t>Convention 3: r:=-r for r&lt;0</t>
    <phoneticPr fontId="2" type="noConversion"/>
  </si>
  <si>
    <t>short rate paths</t>
    <phoneticPr fontId="2" type="noConversion"/>
  </si>
  <si>
    <t>spot price (S0)</t>
  </si>
  <si>
    <t>year to expire (T)</t>
  </si>
  <si>
    <t xml:space="preserve">u </t>
  </si>
  <si>
    <t xml:space="preserve">k </t>
  </si>
  <si>
    <t>k</t>
    <phoneticPr fontId="2" type="noConversion"/>
  </si>
  <si>
    <t>變動</t>
    <phoneticPr fontId="2" type="noConversion"/>
  </si>
  <si>
    <t>stock price</t>
    <phoneticPr fontId="2" type="noConversion"/>
  </si>
  <si>
    <t>履約價</t>
    <phoneticPr fontId="2" type="noConversion"/>
  </si>
  <si>
    <t>call price</t>
    <phoneticPr fontId="2" type="noConversion"/>
  </si>
  <si>
    <t>put price</t>
    <phoneticPr fontId="2" type="noConversion"/>
  </si>
  <si>
    <t>average short rate</t>
    <phoneticPr fontId="2" type="noConversion"/>
  </si>
  <si>
    <t>average stock price</t>
    <phoneticPr fontId="2" type="noConversion"/>
  </si>
  <si>
    <t>volatility</t>
    <phoneticPr fontId="2" type="noConversion"/>
  </si>
  <si>
    <t>mu-vol^2/2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</si>
</sst>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0.0000_ "/>
    <numFmt numFmtId="178" formatCode="0.00000_ "/>
    <numFmt numFmtId="179" formatCode="0.000%"/>
    <numFmt numFmtId="180" formatCode="0.000_);[Red]\(0.000\)"/>
    <numFmt numFmtId="181" formatCode="0.000"/>
  </numFmts>
  <fonts count="17" x14ac:knownFonts="1">
    <font>
      <sz val="12"/>
      <color indexed="8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8"/>
      <name val="新細明體"/>
      <family val="1"/>
      <charset val="136"/>
    </font>
    <font>
      <b/>
      <u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2"/>
      <name val="Arial"/>
      <family val="2"/>
    </font>
    <font>
      <sz val="12"/>
      <color rgb="FF000000"/>
      <name val="新細明體"/>
      <family val="1"/>
      <charset val="136"/>
    </font>
    <font>
      <sz val="12"/>
      <color theme="0"/>
      <name val="Arial"/>
      <family val="2"/>
    </font>
    <font>
      <sz val="12"/>
      <color theme="0"/>
      <name val="新細明體"/>
      <family val="1"/>
      <charset val="136"/>
    </font>
    <font>
      <b/>
      <u/>
      <sz val="12"/>
      <color theme="0"/>
      <name val="Arial"/>
      <family val="2"/>
    </font>
    <font>
      <b/>
      <sz val="12"/>
      <color indexed="8"/>
      <name val="Microsoft JhengHei UI"/>
      <family val="2"/>
      <charset val="136"/>
    </font>
    <font>
      <sz val="12"/>
      <color rgb="FF000000"/>
      <name val="微軟正黑體"/>
      <family val="2"/>
      <charset val="136"/>
    </font>
    <font>
      <sz val="12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180" fontId="7" fillId="0" borderId="0" xfId="2" applyNumberFormat="1" applyFont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0" fontId="7" fillId="0" borderId="0" xfId="2" applyNumberFormat="1" applyFont="1" applyAlignment="1">
      <alignment horizontal="center" vertical="center"/>
    </xf>
    <xf numFmtId="180" fontId="7" fillId="0" borderId="0" xfId="2" applyNumberFormat="1" applyFont="1">
      <alignment vertical="center"/>
    </xf>
    <xf numFmtId="10" fontId="7" fillId="0" borderId="0" xfId="2" applyNumberFormat="1" applyFont="1">
      <alignment vertical="center"/>
    </xf>
    <xf numFmtId="0" fontId="7" fillId="0" borderId="0" xfId="0" applyFont="1" applyFill="1">
      <alignment vertical="center"/>
    </xf>
    <xf numFmtId="0" fontId="8" fillId="0" borderId="0" xfId="0" applyFont="1" applyAlignment="1">
      <alignment horizontal="center" vertical="center"/>
    </xf>
    <xf numFmtId="177" fontId="7" fillId="0" borderId="0" xfId="0" applyNumberFormat="1" applyFont="1">
      <alignment vertical="center"/>
    </xf>
    <xf numFmtId="0" fontId="9" fillId="0" borderId="0" xfId="0" applyFont="1">
      <alignment vertical="center"/>
    </xf>
    <xf numFmtId="176" fontId="7" fillId="0" borderId="0" xfId="0" applyNumberFormat="1" applyFont="1">
      <alignment vertical="center"/>
    </xf>
    <xf numFmtId="179" fontId="7" fillId="0" borderId="0" xfId="2" applyNumberFormat="1" applyFont="1">
      <alignment vertical="center"/>
    </xf>
    <xf numFmtId="176" fontId="7" fillId="0" borderId="0" xfId="0" applyNumberFormat="1" applyFont="1" applyBorder="1">
      <alignment vertical="center"/>
    </xf>
    <xf numFmtId="2" fontId="7" fillId="0" borderId="0" xfId="0" applyNumberFormat="1" applyFont="1">
      <alignment vertical="center"/>
    </xf>
    <xf numFmtId="10" fontId="0" fillId="0" borderId="0" xfId="0" applyNumberFormat="1">
      <alignment vertical="center"/>
    </xf>
    <xf numFmtId="10" fontId="7" fillId="0" borderId="0" xfId="0" applyNumberFormat="1" applyFont="1">
      <alignment vertical="center"/>
    </xf>
    <xf numFmtId="0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0" fontId="11" fillId="0" borderId="0" xfId="0" applyFont="1">
      <alignment vertical="center"/>
    </xf>
    <xf numFmtId="10" fontId="12" fillId="0" borderId="0" xfId="0" applyNumberFormat="1" applyFont="1">
      <alignment vertical="center"/>
    </xf>
    <xf numFmtId="181" fontId="12" fillId="0" borderId="0" xfId="0" applyNumberFormat="1" applyFont="1">
      <alignment vertical="center"/>
    </xf>
    <xf numFmtId="0" fontId="12" fillId="0" borderId="0" xfId="0" applyFont="1">
      <alignment vertical="center"/>
    </xf>
    <xf numFmtId="180" fontId="11" fillId="0" borderId="0" xfId="2" applyNumberFormat="1" applyFont="1" applyAlignment="1">
      <alignment horizontal="center" vertical="center"/>
    </xf>
    <xf numFmtId="181" fontId="11" fillId="0" borderId="0" xfId="0" applyNumberFormat="1" applyFont="1">
      <alignment vertical="center"/>
    </xf>
    <xf numFmtId="0" fontId="11" fillId="0" borderId="0" xfId="0" applyFont="1" applyAlignment="1">
      <alignment horizontal="center" vertical="center"/>
    </xf>
    <xf numFmtId="10" fontId="11" fillId="0" borderId="0" xfId="2" applyNumberFormat="1" applyFont="1" applyAlignment="1">
      <alignment horizontal="center" vertical="center"/>
    </xf>
    <xf numFmtId="2" fontId="11" fillId="0" borderId="0" xfId="0" applyNumberFormat="1" applyFont="1">
      <alignment vertical="center"/>
    </xf>
    <xf numFmtId="10" fontId="14" fillId="2" borderId="0" xfId="0" applyNumberFormat="1" applyFont="1" applyFill="1">
      <alignment vertical="center"/>
    </xf>
    <xf numFmtId="181" fontId="14" fillId="0" borderId="0" xfId="0" applyNumberFormat="1" applyFont="1">
      <alignment vertical="center"/>
    </xf>
    <xf numFmtId="0" fontId="7" fillId="2" borderId="0" xfId="0" applyFont="1" applyFill="1">
      <alignment vertical="center"/>
    </xf>
    <xf numFmtId="10" fontId="15" fillId="0" borderId="0" xfId="0" applyNumberFormat="1" applyFont="1">
      <alignment vertical="center"/>
    </xf>
    <xf numFmtId="0" fontId="7" fillId="2" borderId="0" xfId="0" applyNumberFormat="1" applyFont="1" applyFill="1">
      <alignment vertical="center"/>
    </xf>
    <xf numFmtId="0" fontId="15" fillId="0" borderId="0" xfId="0" applyFont="1">
      <alignment vertical="center"/>
    </xf>
    <xf numFmtId="0" fontId="7" fillId="2" borderId="0" xfId="0" applyFont="1" applyFill="1" applyAlignment="1">
      <alignment horizontal="center" vertical="center"/>
    </xf>
    <xf numFmtId="11" fontId="7" fillId="0" borderId="0" xfId="2" applyNumberFormat="1" applyFont="1">
      <alignment vertical="center"/>
    </xf>
    <xf numFmtId="0" fontId="16" fillId="0" borderId="0" xfId="0" applyFont="1">
      <alignment vertical="center"/>
    </xf>
    <xf numFmtId="0" fontId="7" fillId="0" borderId="0" xfId="0" applyFont="1" applyBorder="1">
      <alignment vertical="center"/>
    </xf>
    <xf numFmtId="0" fontId="16" fillId="0" borderId="0" xfId="0" applyFont="1" applyBorder="1">
      <alignment vertical="center"/>
    </xf>
    <xf numFmtId="0" fontId="7" fillId="0" borderId="2" xfId="0" applyFont="1" applyBorder="1">
      <alignment vertical="center"/>
    </xf>
    <xf numFmtId="0" fontId="7" fillId="0" borderId="3" xfId="0" applyFont="1" applyBorder="1">
      <alignment vertical="center"/>
    </xf>
    <xf numFmtId="0" fontId="7" fillId="0" borderId="4" xfId="0" applyFont="1" applyBorder="1">
      <alignment vertical="center"/>
    </xf>
    <xf numFmtId="0" fontId="7" fillId="0" borderId="5" xfId="0" applyFont="1" applyBorder="1">
      <alignment vertical="center"/>
    </xf>
    <xf numFmtId="0" fontId="7" fillId="0" borderId="6" xfId="0" applyFont="1" applyBorder="1">
      <alignment vertical="center"/>
    </xf>
    <xf numFmtId="0" fontId="7" fillId="0" borderId="7" xfId="0" applyFont="1" applyBorder="1">
      <alignment vertical="center"/>
    </xf>
    <xf numFmtId="0" fontId="7" fillId="0" borderId="1" xfId="0" applyFont="1" applyBorder="1">
      <alignment vertical="center"/>
    </xf>
    <xf numFmtId="0" fontId="7" fillId="0" borderId="8" xfId="0" applyFont="1" applyBorder="1">
      <alignment vertical="center"/>
    </xf>
    <xf numFmtId="0" fontId="7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一般" xfId="0" builtinId="0"/>
    <cellStyle name="一般 2" xfId="1" xr:uid="{00000000-0005-0000-0000-000001000000}"/>
    <cellStyle name="百分比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6" fmlaLink="$M$2" fmlaRange="#REF!" noThreeD="1" sel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7620</xdr:rowOff>
        </xdr:to>
        <xdr:sp macro="" textlink="">
          <xdr:nvSpPr>
            <xdr:cNvPr id="26627" name="Drop Dow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0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167640</xdr:rowOff>
        </xdr:from>
        <xdr:to>
          <xdr:col>13</xdr:col>
          <xdr:colOff>0</xdr:colOff>
          <xdr:row>4</xdr:row>
          <xdr:rowOff>30480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0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Fit 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</xdr:row>
          <xdr:rowOff>0</xdr:rowOff>
        </xdr:from>
        <xdr:to>
          <xdr:col>5</xdr:col>
          <xdr:colOff>609600</xdr:colOff>
          <xdr:row>4</xdr:row>
          <xdr:rowOff>99060</xdr:rowOff>
        </xdr:to>
        <xdr:sp macro="" textlink="">
          <xdr:nvSpPr>
            <xdr:cNvPr id="376842" name="Button 10" hidden="1">
              <a:extLst>
                <a:ext uri="{63B3BB69-23CF-44E3-9099-C40C66FF867C}">
                  <a14:compatExt spid="_x0000_s376842"/>
                </a:ext>
                <a:ext uri="{FF2B5EF4-FFF2-40B4-BE49-F238E27FC236}">
                  <a16:creationId xmlns:a16="http://schemas.microsoft.com/office/drawing/2014/main" id="{00000000-0008-0000-0200-00000AC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Run Hull-White model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king/AppData/Local/Microsoft/Windows/Temporary%20Internet%20Files/Content.IE5/W9H66F3I/For_Week11_Slid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-D random walk"/>
      <sheetName val="股價走勢只根據 random walk"/>
      <sheetName val="which are real stock paths"/>
      <sheetName val="GBM"/>
      <sheetName val="GBM NormSDist"/>
      <sheetName val="GBM NormSInv"/>
      <sheetName val="Random normal dist histogram"/>
      <sheetName val="GMB vs Real world"/>
      <sheetName val="GBM is not bad"/>
      <sheetName val="GBM 1-day simulation"/>
      <sheetName val="股價指數長期若不成長"/>
      <sheetName val="股價模擬1"/>
      <sheetName val="股價模擬2 用 MC 證明 GBM"/>
      <sheetName val="計算歷史波動度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4">
          <cell r="B4">
            <v>10</v>
          </cell>
        </row>
      </sheetData>
      <sheetData sheetId="1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02"/>
  <sheetViews>
    <sheetView workbookViewId="0">
      <selection activeCell="I3" sqref="I3"/>
    </sheetView>
  </sheetViews>
  <sheetFormatPr defaultColWidth="9" defaultRowHeight="15" x14ac:dyDescent="0.3"/>
  <cols>
    <col min="1" max="1" width="10.109375" style="2" bestFit="1" customWidth="1"/>
    <col min="2" max="2" width="5.88671875" style="2" bestFit="1" customWidth="1"/>
    <col min="3" max="3" width="16" style="2" bestFit="1" customWidth="1"/>
    <col min="4" max="4" width="8.21875" style="2" bestFit="1" customWidth="1"/>
    <col min="5" max="5" width="12.88671875" style="2" bestFit="1" customWidth="1"/>
    <col min="6" max="6" width="10" style="2" customWidth="1"/>
    <col min="7" max="7" width="11.33203125" style="2" customWidth="1"/>
    <col min="8" max="8" width="7.6640625" style="2" bestFit="1" customWidth="1"/>
    <col min="9" max="9" width="9.77734375" style="2" bestFit="1" customWidth="1"/>
    <col min="10" max="10" width="8.6640625" style="2" customWidth="1"/>
    <col min="11" max="11" width="7.44140625" style="2" customWidth="1"/>
    <col min="12" max="12" width="3.6640625" style="2" customWidth="1"/>
    <col min="13" max="13" width="11.77734375" style="2" customWidth="1"/>
    <col min="14" max="14" width="8.6640625" style="7" customWidth="1"/>
    <col min="15" max="15" width="4.21875" style="2" bestFit="1" customWidth="1"/>
    <col min="16" max="16" width="5.21875" style="2" customWidth="1"/>
    <col min="17" max="17" width="8.21875" style="2" bestFit="1" customWidth="1"/>
    <col min="18" max="18" width="5.6640625" style="2" customWidth="1"/>
    <col min="19" max="19" width="17.88671875" style="2" bestFit="1" customWidth="1"/>
    <col min="20" max="16384" width="9" style="2"/>
  </cols>
  <sheetData>
    <row r="1" spans="1:19" x14ac:dyDescent="0.3">
      <c r="A1" s="47" t="s">
        <v>7</v>
      </c>
      <c r="B1" s="47"/>
      <c r="C1" s="47"/>
      <c r="D1" s="47"/>
      <c r="E1" s="47"/>
      <c r="F1" s="47" t="s">
        <v>1</v>
      </c>
      <c r="G1" s="47"/>
      <c r="H1" s="47"/>
      <c r="I1" s="47"/>
      <c r="K1" s="3" t="s">
        <v>5</v>
      </c>
      <c r="M1" s="2" t="s">
        <v>6</v>
      </c>
      <c r="P1" s="3" t="s">
        <v>8</v>
      </c>
      <c r="Q1" s="3" t="s">
        <v>9</v>
      </c>
      <c r="R1" s="3"/>
      <c r="S1" s="2" t="s">
        <v>20</v>
      </c>
    </row>
    <row r="2" spans="1:19" ht="15.6" x14ac:dyDescent="0.3">
      <c r="A2" s="8" t="s">
        <v>3</v>
      </c>
      <c r="B2" s="8" t="s">
        <v>24</v>
      </c>
      <c r="C2" s="8" t="s">
        <v>4</v>
      </c>
      <c r="D2" s="3" t="s">
        <v>2</v>
      </c>
      <c r="E2" s="8" t="s">
        <v>0</v>
      </c>
      <c r="F2" s="3" t="s">
        <v>25</v>
      </c>
      <c r="G2" s="8" t="s">
        <v>26</v>
      </c>
      <c r="H2" s="3" t="s">
        <v>10</v>
      </c>
      <c r="I2" s="3" t="s">
        <v>18</v>
      </c>
      <c r="K2" s="2">
        <v>0</v>
      </c>
      <c r="M2" s="2">
        <v>3</v>
      </c>
      <c r="O2" s="3" t="s">
        <v>11</v>
      </c>
      <c r="P2" s="2">
        <v>0</v>
      </c>
      <c r="Q2" s="2">
        <v>1</v>
      </c>
      <c r="S2" s="6">
        <f>MAX(RSpline!I:I)</f>
        <v>3.5180227526448744E-3</v>
      </c>
    </row>
    <row r="3" spans="1:19" ht="16.2" x14ac:dyDescent="0.3">
      <c r="A3" s="9">
        <v>0.43561643835616437</v>
      </c>
      <c r="B3" s="10">
        <v>2</v>
      </c>
      <c r="C3" s="2">
        <v>1</v>
      </c>
      <c r="D3" s="11">
        <v>0.43561643835616437</v>
      </c>
      <c r="E3" s="12">
        <v>8.7500000000000008E-3</v>
      </c>
      <c r="F3" s="11">
        <v>100.296875</v>
      </c>
      <c r="G3" s="13">
        <f>F3+100*E3*(1/B3-A3)</f>
        <v>100.35321061643836</v>
      </c>
      <c r="H3">
        <v>100.33825728984407</v>
      </c>
      <c r="I3" s="15">
        <v>1.4900695754965218E-4</v>
      </c>
      <c r="K3" s="2">
        <v>2</v>
      </c>
      <c r="O3" s="3" t="s">
        <v>12</v>
      </c>
      <c r="P3" s="2">
        <v>0</v>
      </c>
      <c r="Q3" s="2">
        <v>-2.2766685734735719E-3</v>
      </c>
      <c r="S3" s="2" t="s">
        <v>19</v>
      </c>
    </row>
    <row r="4" spans="1:19" ht="16.2" x14ac:dyDescent="0.3">
      <c r="A4" s="9">
        <v>0.26438356164383559</v>
      </c>
      <c r="B4" s="10">
        <v>2</v>
      </c>
      <c r="C4" s="2">
        <v>2</v>
      </c>
      <c r="D4" s="11">
        <v>0.76438356164383559</v>
      </c>
      <c r="E4" s="12">
        <v>8.7500000000000008E-3</v>
      </c>
      <c r="F4" s="11">
        <v>100.484375</v>
      </c>
      <c r="G4" s="13">
        <f t="shared" ref="G4:G31" si="0">F4+100*E4*(1/B4-A4)</f>
        <v>100.69053938356164</v>
      </c>
      <c r="H4">
        <v>100.68768171182822</v>
      </c>
      <c r="I4" s="15">
        <v>2.8380737166750642E-5</v>
      </c>
      <c r="K4" s="2">
        <v>10</v>
      </c>
      <c r="O4" s="3" t="s">
        <v>13</v>
      </c>
      <c r="P4" s="2">
        <v>0</v>
      </c>
      <c r="Q4" s="2">
        <v>3.2182958687590295E-4</v>
      </c>
      <c r="S4" s="6">
        <f>AVERAGE(I:I)</f>
        <v>1.4728328707895697E-3</v>
      </c>
    </row>
    <row r="5" spans="1:19" ht="16.2" x14ac:dyDescent="0.3">
      <c r="A5" s="9">
        <v>0.26575342465753415</v>
      </c>
      <c r="B5" s="10">
        <v>2</v>
      </c>
      <c r="C5" s="2">
        <v>3</v>
      </c>
      <c r="D5" s="11">
        <v>1.2657534246575342</v>
      </c>
      <c r="E5" s="12">
        <v>7.4999999999999997E-3</v>
      </c>
      <c r="F5" s="11">
        <v>100.5</v>
      </c>
      <c r="G5" s="13">
        <f t="shared" si="0"/>
        <v>100.67568493150685</v>
      </c>
      <c r="H5">
        <v>100.74518723562974</v>
      </c>
      <c r="I5" s="15">
        <v>6.9035839359004084E-4</v>
      </c>
      <c r="K5" s="2">
        <v>25</v>
      </c>
      <c r="O5" s="3" t="s">
        <v>14</v>
      </c>
      <c r="P5" s="2">
        <v>0</v>
      </c>
      <c r="Q5" s="2">
        <v>-6.9463484697991325E-4</v>
      </c>
    </row>
    <row r="6" spans="1:19" ht="16.2" x14ac:dyDescent="0.3">
      <c r="A6" s="9">
        <v>0.4342465753424658</v>
      </c>
      <c r="B6" s="10">
        <v>2</v>
      </c>
      <c r="C6" s="2">
        <v>4</v>
      </c>
      <c r="D6" s="11">
        <v>1.9342465753424658</v>
      </c>
      <c r="E6" s="12">
        <v>6.2500000000000003E-3</v>
      </c>
      <c r="F6" s="11">
        <v>100.3125</v>
      </c>
      <c r="G6" s="13">
        <f t="shared" si="0"/>
        <v>100.35359589041096</v>
      </c>
      <c r="H6">
        <v>100.42227566458826</v>
      </c>
      <c r="I6" s="15">
        <v>6.8437780996206715E-4</v>
      </c>
      <c r="P6" s="2">
        <v>2</v>
      </c>
      <c r="Q6" s="2">
        <v>8.8712826284255615E-4</v>
      </c>
    </row>
    <row r="7" spans="1:19" ht="16.2" x14ac:dyDescent="0.3">
      <c r="A7" s="9">
        <v>1.9178082191780632E-2</v>
      </c>
      <c r="B7" s="10">
        <v>2</v>
      </c>
      <c r="C7" s="2">
        <v>5</v>
      </c>
      <c r="D7" s="11">
        <v>2.0191780821917806</v>
      </c>
      <c r="E7" s="12">
        <v>3.7499999999999999E-3</v>
      </c>
      <c r="F7" s="11">
        <v>99.78125</v>
      </c>
      <c r="G7" s="13">
        <f t="shared" si="0"/>
        <v>99.961558219178087</v>
      </c>
      <c r="H7">
        <v>100.03376939538624</v>
      </c>
      <c r="I7" s="15">
        <v>7.2238946145502072E-4</v>
      </c>
      <c r="P7" s="2">
        <v>10</v>
      </c>
      <c r="Q7" s="2">
        <v>-2.0466255377640981E-4</v>
      </c>
    </row>
    <row r="8" spans="1:19" ht="16.2" x14ac:dyDescent="0.3">
      <c r="A8" s="9">
        <v>0.47534246575342465</v>
      </c>
      <c r="B8" s="10">
        <v>2</v>
      </c>
      <c r="C8" s="2">
        <v>6</v>
      </c>
      <c r="D8" s="11">
        <v>2.9753424657534246</v>
      </c>
      <c r="E8" s="12">
        <v>7.4999999999999997E-3</v>
      </c>
      <c r="F8" s="11">
        <v>100.15625</v>
      </c>
      <c r="G8" s="13">
        <f t="shared" si="0"/>
        <v>100.17474315068493</v>
      </c>
      <c r="H8">
        <v>100.09044528553143</v>
      </c>
      <c r="I8" s="15">
        <v>8.4150817363913186E-4</v>
      </c>
      <c r="P8" s="2">
        <v>25</v>
      </c>
      <c r="Q8" s="2">
        <v>7.0851603186566914E-5</v>
      </c>
    </row>
    <row r="9" spans="1:19" ht="16.2" x14ac:dyDescent="0.3">
      <c r="A9" s="9">
        <v>0.35342465753424657</v>
      </c>
      <c r="B9" s="10">
        <v>2</v>
      </c>
      <c r="C9" s="2">
        <v>7</v>
      </c>
      <c r="D9" s="11">
        <v>3.3534246575342466</v>
      </c>
      <c r="E9" s="12">
        <v>1.4999999999999999E-2</v>
      </c>
      <c r="F9" s="11">
        <v>102.34375</v>
      </c>
      <c r="G9" s="13">
        <f t="shared" si="0"/>
        <v>102.56361301369863</v>
      </c>
      <c r="H9">
        <v>102.39279430548328</v>
      </c>
      <c r="I9" s="15">
        <v>1.665490354679053E-3</v>
      </c>
    </row>
    <row r="10" spans="1:19" ht="16.2" x14ac:dyDescent="0.3">
      <c r="A10" s="9">
        <v>0.10000000000000009</v>
      </c>
      <c r="B10" s="10">
        <v>2</v>
      </c>
      <c r="C10" s="2">
        <v>8</v>
      </c>
      <c r="D10" s="11">
        <v>3.6</v>
      </c>
      <c r="E10" s="12">
        <v>1.7500000000000002E-2</v>
      </c>
      <c r="F10" s="11">
        <v>103.078125</v>
      </c>
      <c r="G10" s="13">
        <f t="shared" si="0"/>
        <v>103.778125</v>
      </c>
      <c r="H10">
        <v>103.63932808255274</v>
      </c>
      <c r="I10" s="15">
        <v>1.3374390551695345E-3</v>
      </c>
    </row>
    <row r="11" spans="1:19" ht="16.2" x14ac:dyDescent="0.3">
      <c r="A11" s="9">
        <v>0.26849315068493151</v>
      </c>
      <c r="B11" s="10">
        <v>2</v>
      </c>
      <c r="C11" s="2">
        <v>9</v>
      </c>
      <c r="D11" s="11">
        <v>4.2684931506849315</v>
      </c>
      <c r="E11" s="12">
        <v>2.1250000000000002E-2</v>
      </c>
      <c r="F11" s="11">
        <v>104.1875</v>
      </c>
      <c r="G11" s="13">
        <f t="shared" si="0"/>
        <v>104.67945205479452</v>
      </c>
      <c r="H11">
        <v>104.64765808470437</v>
      </c>
      <c r="I11" s="15">
        <v>3.0372694417149304E-4</v>
      </c>
    </row>
    <row r="12" spans="1:19" ht="16.2" x14ac:dyDescent="0.3">
      <c r="A12" s="9">
        <v>0.43424657534246602</v>
      </c>
      <c r="B12" s="10">
        <v>2</v>
      </c>
      <c r="C12" s="2">
        <v>10</v>
      </c>
      <c r="D12" s="11">
        <v>4.934246575342466</v>
      </c>
      <c r="E12" s="12">
        <v>1.7500000000000002E-2</v>
      </c>
      <c r="F12" s="11">
        <v>102.0625</v>
      </c>
      <c r="G12" s="13">
        <f t="shared" si="0"/>
        <v>102.17756849315069</v>
      </c>
      <c r="H12">
        <v>102.10003844392672</v>
      </c>
      <c r="I12" s="15">
        <v>7.5877759049593804E-4</v>
      </c>
    </row>
    <row r="13" spans="1:19" ht="16.2" x14ac:dyDescent="0.3">
      <c r="A13" s="9">
        <v>0.22739726027397289</v>
      </c>
      <c r="B13" s="10">
        <v>2</v>
      </c>
      <c r="C13" s="2">
        <v>11</v>
      </c>
      <c r="D13" s="11">
        <v>5.2273972602739729</v>
      </c>
      <c r="E13" s="12">
        <v>4.4999999999999998E-2</v>
      </c>
      <c r="F13" s="11">
        <v>115.90625</v>
      </c>
      <c r="G13" s="13">
        <f t="shared" si="0"/>
        <v>117.13296232876712</v>
      </c>
      <c r="H13">
        <v>116.86867952017133</v>
      </c>
      <c r="I13" s="15">
        <v>2.2562633381883507E-3</v>
      </c>
    </row>
    <row r="14" spans="1:19" ht="16.2" x14ac:dyDescent="0.3">
      <c r="A14" s="9">
        <v>0.102739726027397</v>
      </c>
      <c r="B14" s="10">
        <v>2</v>
      </c>
      <c r="C14" s="2">
        <v>12</v>
      </c>
      <c r="D14" s="11">
        <v>5.602739726027397</v>
      </c>
      <c r="E14" s="12">
        <v>2.375E-2</v>
      </c>
      <c r="F14" s="11">
        <v>104.359375</v>
      </c>
      <c r="G14" s="13">
        <f t="shared" si="0"/>
        <v>105.30286815068493</v>
      </c>
      <c r="H14">
        <v>105.50765090935319</v>
      </c>
      <c r="I14" s="15">
        <v>1.9447025732976361E-3</v>
      </c>
    </row>
    <row r="15" spans="1:19" ht="16.2" x14ac:dyDescent="0.3">
      <c r="A15" s="9">
        <v>0.27123287671232887</v>
      </c>
      <c r="B15" s="10">
        <v>2</v>
      </c>
      <c r="C15" s="2">
        <v>13</v>
      </c>
      <c r="D15" s="11">
        <v>6.2712328767123289</v>
      </c>
      <c r="E15" s="12">
        <v>2.75E-2</v>
      </c>
      <c r="F15" s="11">
        <v>105.859375</v>
      </c>
      <c r="G15" s="13">
        <f t="shared" si="0"/>
        <v>106.48848458904109</v>
      </c>
      <c r="H15">
        <v>106.83406972361287</v>
      </c>
      <c r="I15" s="15">
        <v>3.2452817401379592E-3</v>
      </c>
    </row>
    <row r="16" spans="1:19" ht="16.2" x14ac:dyDescent="0.3">
      <c r="A16" s="9">
        <v>0.43698630136986338</v>
      </c>
      <c r="B16" s="10">
        <v>2</v>
      </c>
      <c r="C16" s="2">
        <v>14</v>
      </c>
      <c r="D16" s="11">
        <v>6.9369863013698634</v>
      </c>
      <c r="E16" s="12">
        <v>2.375E-2</v>
      </c>
      <c r="F16" s="11">
        <v>102.96875</v>
      </c>
      <c r="G16" s="13">
        <f t="shared" si="0"/>
        <v>103.11840753424657</v>
      </c>
      <c r="H16">
        <v>103.31787944594744</v>
      </c>
      <c r="I16" s="15">
        <v>1.9343967432257144E-3</v>
      </c>
    </row>
    <row r="17" spans="1:9" ht="16.2" x14ac:dyDescent="0.3">
      <c r="A17" s="9">
        <v>0.4821917808219176</v>
      </c>
      <c r="B17" s="10">
        <v>2</v>
      </c>
      <c r="C17" s="2">
        <v>15</v>
      </c>
      <c r="D17" s="11">
        <v>7.4821917808219176</v>
      </c>
      <c r="E17" s="12">
        <v>3.5000000000000003E-2</v>
      </c>
      <c r="F17" s="11">
        <v>110.53125</v>
      </c>
      <c r="G17" s="13">
        <f t="shared" si="0"/>
        <v>110.59357876712329</v>
      </c>
      <c r="H17">
        <v>110.47054211261167</v>
      </c>
      <c r="I17" s="15">
        <v>1.112511737871334E-3</v>
      </c>
    </row>
    <row r="18" spans="1:9" ht="16.2" x14ac:dyDescent="0.3">
      <c r="A18" s="9">
        <v>0.22602739726027377</v>
      </c>
      <c r="B18" s="10">
        <v>2</v>
      </c>
      <c r="C18" s="2">
        <v>16</v>
      </c>
      <c r="D18" s="11">
        <v>7.7260273972602738</v>
      </c>
      <c r="E18" s="12">
        <v>3.875E-2</v>
      </c>
      <c r="F18" s="11">
        <v>113.09375</v>
      </c>
      <c r="G18" s="13">
        <f t="shared" si="0"/>
        <v>114.15539383561644</v>
      </c>
      <c r="H18">
        <v>114.08642028890421</v>
      </c>
      <c r="I18" s="15">
        <v>6.042075139397336E-4</v>
      </c>
    </row>
    <row r="19" spans="1:9" ht="16.2" x14ac:dyDescent="0.3">
      <c r="A19" s="9">
        <v>0.4821917808219176</v>
      </c>
      <c r="B19" s="10">
        <v>2</v>
      </c>
      <c r="C19" s="2">
        <v>17</v>
      </c>
      <c r="D19" s="11">
        <v>8.4821917808219176</v>
      </c>
      <c r="E19" s="12">
        <v>2.75E-2</v>
      </c>
      <c r="F19" s="11">
        <v>103.984375</v>
      </c>
      <c r="G19" s="13">
        <f t="shared" si="0"/>
        <v>104.03334760273972</v>
      </c>
      <c r="H19">
        <v>103.96572740813832</v>
      </c>
      <c r="I19" s="15">
        <v>6.4998576090828826E-4</v>
      </c>
    </row>
    <row r="20" spans="1:9" ht="16.2" x14ac:dyDescent="0.3">
      <c r="A20" s="9">
        <v>0.22602739726027465</v>
      </c>
      <c r="B20" s="10">
        <v>2</v>
      </c>
      <c r="C20" s="2">
        <v>18</v>
      </c>
      <c r="D20" s="11">
        <v>8.7260273972602747</v>
      </c>
      <c r="E20" s="12">
        <v>3.125E-2</v>
      </c>
      <c r="F20" s="11">
        <v>106.5</v>
      </c>
      <c r="G20" s="13">
        <f t="shared" si="0"/>
        <v>107.35616438356165</v>
      </c>
      <c r="H20">
        <v>107.50443151224412</v>
      </c>
      <c r="I20" s="15">
        <v>1.3810769929591435E-3</v>
      </c>
    </row>
    <row r="21" spans="1:9" ht="16.2" x14ac:dyDescent="0.3">
      <c r="A21" s="9">
        <v>0.23013698630136936</v>
      </c>
      <c r="B21" s="10">
        <v>2</v>
      </c>
      <c r="C21" s="2">
        <v>19</v>
      </c>
      <c r="D21" s="11">
        <v>9.2301369863013694</v>
      </c>
      <c r="E21" s="12">
        <v>3.3750000000000002E-2</v>
      </c>
      <c r="F21" s="11">
        <v>108</v>
      </c>
      <c r="G21" s="13">
        <f t="shared" si="0"/>
        <v>108.91078767123288</v>
      </c>
      <c r="H21">
        <v>109.18235660257966</v>
      </c>
      <c r="I21" s="15">
        <v>2.4934989191939204E-3</v>
      </c>
    </row>
    <row r="22" spans="1:9" ht="16.2" x14ac:dyDescent="0.3">
      <c r="A22" s="9">
        <v>0.48082191780821937</v>
      </c>
      <c r="B22" s="10">
        <v>2</v>
      </c>
      <c r="C22" s="2">
        <v>20</v>
      </c>
      <c r="D22" s="11">
        <v>9.9808219178082194</v>
      </c>
      <c r="E22" s="12">
        <v>2.6249999999999999E-2</v>
      </c>
      <c r="F22" s="11">
        <v>101.1875</v>
      </c>
      <c r="G22" s="13">
        <f t="shared" si="0"/>
        <v>101.23784246575343</v>
      </c>
      <c r="H22">
        <v>100.88168543253023</v>
      </c>
      <c r="I22" s="15">
        <v>3.5180227526448744E-3</v>
      </c>
    </row>
    <row r="23" spans="1:9" ht="16.2" x14ac:dyDescent="0.3">
      <c r="A23" s="9">
        <v>0.49315068493150704</v>
      </c>
      <c r="B23" s="10">
        <v>2</v>
      </c>
      <c r="C23" s="2">
        <v>51</v>
      </c>
      <c r="D23" s="11">
        <v>25.493150684931507</v>
      </c>
      <c r="E23" s="12">
        <v>4.4999999999999998E-2</v>
      </c>
      <c r="F23" s="11">
        <v>117.578125</v>
      </c>
      <c r="G23" s="13">
        <f t="shared" si="0"/>
        <v>117.60894691780823</v>
      </c>
      <c r="H23">
        <v>117.83715182094575</v>
      </c>
      <c r="I23" s="15">
        <v>1.9403702619410937E-3</v>
      </c>
    </row>
    <row r="24" spans="1:9" ht="16.2" x14ac:dyDescent="0.3">
      <c r="A24" s="9">
        <v>0.49589041095890352</v>
      </c>
      <c r="B24" s="10">
        <v>2</v>
      </c>
      <c r="C24" s="2">
        <v>53</v>
      </c>
      <c r="D24" s="11">
        <v>26.495890410958904</v>
      </c>
      <c r="E24" s="12">
        <v>4.7500000000000001E-2</v>
      </c>
      <c r="F24" s="11">
        <v>122.28125</v>
      </c>
      <c r="G24" s="13">
        <f t="shared" si="0"/>
        <v>122.30077054794521</v>
      </c>
      <c r="H24">
        <v>122.16939062037692</v>
      </c>
      <c r="I24" s="15">
        <v>1.0742363026795907E-3</v>
      </c>
    </row>
    <row r="25" spans="1:9" ht="16.2" x14ac:dyDescent="0.3">
      <c r="A25" s="9">
        <v>0.23972602739726057</v>
      </c>
      <c r="B25" s="10">
        <v>2</v>
      </c>
      <c r="C25" s="2">
        <v>54</v>
      </c>
      <c r="D25" s="11">
        <v>26.739726027397261</v>
      </c>
      <c r="E25" s="12">
        <v>0.05</v>
      </c>
      <c r="F25" s="11">
        <v>126.96875</v>
      </c>
      <c r="G25" s="13">
        <f t="shared" si="0"/>
        <v>128.27011986301369</v>
      </c>
      <c r="H25">
        <v>127.960222370178</v>
      </c>
      <c r="I25" s="15">
        <v>2.4159757016415338E-3</v>
      </c>
    </row>
    <row r="26" spans="1:9" ht="16.2" x14ac:dyDescent="0.3">
      <c r="A26" s="9">
        <v>0.49589041095890352</v>
      </c>
      <c r="B26" s="10">
        <v>2</v>
      </c>
      <c r="C26" s="2">
        <v>55</v>
      </c>
      <c r="D26" s="11">
        <v>27.495890410958904</v>
      </c>
      <c r="E26" s="12">
        <v>4.3749999999999997E-2</v>
      </c>
      <c r="F26" s="11">
        <v>115.1875</v>
      </c>
      <c r="G26" s="13">
        <f t="shared" si="0"/>
        <v>115.2054794520548</v>
      </c>
      <c r="H26">
        <v>115.22930868868589</v>
      </c>
      <c r="I26" s="15">
        <v>2.0684117408672657E-4</v>
      </c>
    </row>
    <row r="27" spans="1:9" ht="16.2" x14ac:dyDescent="0.3">
      <c r="A27" s="9">
        <v>0.23972602739726057</v>
      </c>
      <c r="B27" s="10">
        <v>2</v>
      </c>
      <c r="C27" s="2">
        <v>56</v>
      </c>
      <c r="D27" s="11">
        <v>27.739726027397261</v>
      </c>
      <c r="E27" s="12">
        <v>4.4999999999999998E-2</v>
      </c>
      <c r="F27" s="11">
        <v>117.46875</v>
      </c>
      <c r="G27" s="13">
        <f t="shared" si="0"/>
        <v>118.63998287671232</v>
      </c>
      <c r="H27">
        <v>118.65115953250964</v>
      </c>
      <c r="I27" s="15">
        <v>9.4206485253193122E-5</v>
      </c>
    </row>
    <row r="28" spans="1:9" ht="16.2" x14ac:dyDescent="0.3">
      <c r="A28" s="9">
        <v>0.49589041095890352</v>
      </c>
      <c r="B28" s="10">
        <v>2</v>
      </c>
      <c r="C28" s="2">
        <v>57</v>
      </c>
      <c r="D28" s="11">
        <v>28.495890410958904</v>
      </c>
      <c r="E28" s="12">
        <v>3.5000000000000003E-2</v>
      </c>
      <c r="F28" s="11">
        <v>98.984375</v>
      </c>
      <c r="G28" s="13">
        <f t="shared" si="0"/>
        <v>98.998758561643839</v>
      </c>
      <c r="H28">
        <v>98.739774079815049</v>
      </c>
      <c r="I28" s="15">
        <v>2.6160376714979457E-3</v>
      </c>
    </row>
    <row r="29" spans="1:9" ht="16.2" x14ac:dyDescent="0.3">
      <c r="A29" s="9">
        <v>0.23972602739726057</v>
      </c>
      <c r="B29" s="10">
        <v>2</v>
      </c>
      <c r="C29" s="2">
        <v>58</v>
      </c>
      <c r="D29" s="11">
        <v>28.739726027397261</v>
      </c>
      <c r="E29" s="12">
        <v>4.2500000000000003E-2</v>
      </c>
      <c r="F29" s="11">
        <v>112.4375</v>
      </c>
      <c r="G29" s="13">
        <f t="shared" si="0"/>
        <v>113.54366438356165</v>
      </c>
      <c r="H29">
        <v>113.8315242414518</v>
      </c>
      <c r="I29" s="15">
        <v>2.5352348759657404E-3</v>
      </c>
    </row>
    <row r="30" spans="1:9" ht="16.2" x14ac:dyDescent="0.3">
      <c r="A30" s="9">
        <v>0.24383561643835705</v>
      </c>
      <c r="B30" s="10">
        <v>2</v>
      </c>
      <c r="C30" s="2">
        <v>59</v>
      </c>
      <c r="D30" s="11">
        <v>29.243835616438357</v>
      </c>
      <c r="E30" s="12">
        <v>4.3749999999999997E-2</v>
      </c>
      <c r="F30" s="11">
        <v>114.671875</v>
      </c>
      <c r="G30" s="13">
        <f t="shared" si="0"/>
        <v>115.79259417808218</v>
      </c>
      <c r="H30">
        <v>116.18350164777829</v>
      </c>
      <c r="I30" s="15">
        <v>3.375928076150623E-3</v>
      </c>
    </row>
    <row r="31" spans="1:9" ht="16.2" x14ac:dyDescent="0.3">
      <c r="A31" s="9">
        <v>0.49452054794520706</v>
      </c>
      <c r="B31" s="10">
        <v>2</v>
      </c>
      <c r="C31" s="2">
        <v>60</v>
      </c>
      <c r="D31" s="11">
        <v>29.994520547945207</v>
      </c>
      <c r="E31" s="12">
        <v>3.875E-2</v>
      </c>
      <c r="F31" s="11">
        <v>105.75</v>
      </c>
      <c r="G31" s="13">
        <f t="shared" si="0"/>
        <v>105.77123287671232</v>
      </c>
      <c r="H31">
        <v>105.54573715945997</v>
      </c>
      <c r="I31" s="15">
        <v>2.13191915343544E-3</v>
      </c>
    </row>
    <row r="32" spans="1:9" ht="16.2" x14ac:dyDescent="0.3">
      <c r="A32" s="9"/>
      <c r="B32" s="10"/>
      <c r="D32" s="11"/>
      <c r="E32" s="12"/>
      <c r="F32" s="11"/>
      <c r="G32" s="13"/>
      <c r="H32"/>
      <c r="I32"/>
    </row>
    <row r="33" spans="1:9" ht="16.2" x14ac:dyDescent="0.3">
      <c r="A33" s="9"/>
      <c r="B33" s="10"/>
      <c r="D33" s="11"/>
      <c r="E33" s="12"/>
      <c r="F33" s="11"/>
      <c r="G33" s="13"/>
      <c r="H33"/>
      <c r="I33"/>
    </row>
    <row r="34" spans="1:9" ht="16.2" x14ac:dyDescent="0.3">
      <c r="A34" s="9"/>
      <c r="B34" s="10"/>
      <c r="D34" s="11"/>
      <c r="E34" s="12"/>
      <c r="F34" s="11"/>
      <c r="G34" s="13"/>
      <c r="H34"/>
      <c r="I34"/>
    </row>
    <row r="35" spans="1:9" ht="16.2" x14ac:dyDescent="0.3">
      <c r="A35" s="9"/>
      <c r="B35" s="10"/>
      <c r="D35" s="11"/>
      <c r="E35" s="12"/>
      <c r="F35" s="11"/>
      <c r="G35" s="13"/>
      <c r="H35"/>
      <c r="I35"/>
    </row>
    <row r="36" spans="1:9" ht="16.2" x14ac:dyDescent="0.3">
      <c r="A36" s="9"/>
      <c r="B36" s="10"/>
      <c r="D36" s="11"/>
      <c r="E36" s="12"/>
      <c r="F36" s="11"/>
      <c r="G36" s="13"/>
      <c r="H36"/>
      <c r="I36"/>
    </row>
    <row r="37" spans="1:9" ht="16.2" x14ac:dyDescent="0.3">
      <c r="A37" s="9"/>
      <c r="B37" s="10"/>
      <c r="D37" s="11"/>
      <c r="E37" s="12"/>
      <c r="F37" s="11"/>
      <c r="G37" s="13"/>
      <c r="H37"/>
      <c r="I37"/>
    </row>
    <row r="38" spans="1:9" ht="16.2" x14ac:dyDescent="0.3">
      <c r="A38" s="9"/>
      <c r="B38" s="10"/>
      <c r="D38" s="11"/>
      <c r="E38" s="12"/>
      <c r="F38" s="11"/>
      <c r="G38" s="13"/>
      <c r="H38"/>
      <c r="I38"/>
    </row>
    <row r="39" spans="1:9" ht="16.2" x14ac:dyDescent="0.3">
      <c r="A39" s="9"/>
      <c r="B39" s="10"/>
      <c r="D39" s="11"/>
      <c r="E39" s="12"/>
      <c r="F39" s="11"/>
      <c r="G39" s="13"/>
      <c r="H39"/>
      <c r="I39"/>
    </row>
    <row r="40" spans="1:9" ht="16.2" x14ac:dyDescent="0.3">
      <c r="A40" s="9"/>
      <c r="B40" s="10"/>
      <c r="D40" s="11"/>
      <c r="E40" s="12"/>
      <c r="F40" s="11"/>
      <c r="G40" s="13"/>
      <c r="H40"/>
      <c r="I40"/>
    </row>
    <row r="41" spans="1:9" ht="16.2" x14ac:dyDescent="0.3">
      <c r="A41" s="9"/>
      <c r="B41" s="10"/>
      <c r="D41" s="11"/>
      <c r="E41" s="12"/>
      <c r="F41" s="11"/>
      <c r="G41" s="13"/>
      <c r="H41"/>
      <c r="I41"/>
    </row>
    <row r="42" spans="1:9" ht="16.2" x14ac:dyDescent="0.3">
      <c r="A42" s="9"/>
      <c r="B42" s="10"/>
      <c r="D42" s="11"/>
      <c r="E42" s="12"/>
      <c r="F42" s="11"/>
      <c r="G42" s="13"/>
      <c r="H42"/>
      <c r="I42"/>
    </row>
    <row r="43" spans="1:9" ht="16.2" x14ac:dyDescent="0.3">
      <c r="A43" s="9"/>
      <c r="B43" s="10"/>
      <c r="D43" s="11"/>
      <c r="E43" s="12"/>
      <c r="F43" s="11"/>
      <c r="G43" s="13"/>
      <c r="H43"/>
      <c r="I43"/>
    </row>
    <row r="44" spans="1:9" ht="16.2" x14ac:dyDescent="0.3">
      <c r="A44" s="9"/>
      <c r="B44" s="10"/>
      <c r="D44" s="11"/>
      <c r="E44" s="12"/>
      <c r="F44" s="11"/>
      <c r="G44" s="13"/>
      <c r="H44"/>
      <c r="I44"/>
    </row>
    <row r="45" spans="1:9" ht="16.2" x14ac:dyDescent="0.3">
      <c r="A45" s="9"/>
      <c r="B45" s="10"/>
      <c r="D45" s="11"/>
      <c r="E45" s="12"/>
      <c r="F45" s="11"/>
      <c r="G45" s="13"/>
      <c r="H45"/>
      <c r="I45"/>
    </row>
    <row r="46" spans="1:9" ht="16.2" x14ac:dyDescent="0.3">
      <c r="A46" s="9"/>
      <c r="B46" s="10"/>
      <c r="D46" s="11"/>
      <c r="E46" s="12"/>
      <c r="F46" s="11"/>
      <c r="G46" s="13"/>
      <c r="H46"/>
      <c r="I46"/>
    </row>
    <row r="47" spans="1:9" ht="16.2" x14ac:dyDescent="0.3">
      <c r="A47" s="9"/>
      <c r="B47" s="10"/>
      <c r="D47" s="11"/>
      <c r="E47" s="12"/>
      <c r="F47" s="11"/>
      <c r="G47" s="13"/>
      <c r="H47"/>
      <c r="I47"/>
    </row>
    <row r="48" spans="1:9" ht="16.2" x14ac:dyDescent="0.3">
      <c r="A48" s="9"/>
      <c r="B48" s="10"/>
      <c r="D48" s="11"/>
      <c r="E48" s="12"/>
      <c r="F48" s="11"/>
      <c r="G48" s="13"/>
      <c r="H48"/>
      <c r="I48"/>
    </row>
    <row r="49" spans="1:9" ht="16.2" x14ac:dyDescent="0.3">
      <c r="A49" s="9"/>
      <c r="B49" s="10"/>
      <c r="D49" s="11"/>
      <c r="E49" s="12"/>
      <c r="F49" s="11"/>
      <c r="G49" s="13"/>
      <c r="H49"/>
      <c r="I49"/>
    </row>
    <row r="50" spans="1:9" ht="16.2" x14ac:dyDescent="0.3">
      <c r="A50" s="9"/>
      <c r="D50" s="11"/>
      <c r="E50" s="12"/>
      <c r="F50" s="11"/>
      <c r="G50" s="13"/>
      <c r="H50"/>
      <c r="I50"/>
    </row>
    <row r="51" spans="1:9" ht="16.2" x14ac:dyDescent="0.3">
      <c r="A51" s="9"/>
      <c r="D51" s="11"/>
      <c r="E51" s="12"/>
      <c r="F51" s="11"/>
      <c r="G51" s="13"/>
      <c r="H51"/>
      <c r="I51"/>
    </row>
    <row r="52" spans="1:9" ht="16.2" x14ac:dyDescent="0.3">
      <c r="A52" s="9"/>
      <c r="D52" s="11"/>
      <c r="E52" s="12"/>
      <c r="F52" s="11"/>
      <c r="G52" s="13"/>
      <c r="H52"/>
      <c r="I52"/>
    </row>
    <row r="53" spans="1:9" ht="16.2" x14ac:dyDescent="0.3">
      <c r="A53" s="9"/>
      <c r="D53" s="11"/>
      <c r="E53" s="12"/>
      <c r="F53" s="11"/>
      <c r="G53" s="13"/>
      <c r="H53"/>
      <c r="I53"/>
    </row>
    <row r="54" spans="1:9" ht="16.2" x14ac:dyDescent="0.3">
      <c r="A54" s="9"/>
      <c r="D54" s="11"/>
      <c r="E54" s="12"/>
      <c r="F54" s="11"/>
      <c r="G54" s="13"/>
      <c r="H54"/>
      <c r="I54"/>
    </row>
    <row r="55" spans="1:9" ht="16.2" x14ac:dyDescent="0.3">
      <c r="A55" s="9"/>
      <c r="D55" s="11"/>
      <c r="E55" s="12"/>
      <c r="F55" s="11"/>
      <c r="G55" s="13"/>
      <c r="H55"/>
      <c r="I55"/>
    </row>
    <row r="56" spans="1:9" ht="16.2" x14ac:dyDescent="0.3">
      <c r="A56" s="9"/>
      <c r="D56" s="11"/>
      <c r="E56" s="12"/>
      <c r="F56" s="11"/>
      <c r="G56" s="13"/>
      <c r="H56"/>
      <c r="I56"/>
    </row>
    <row r="57" spans="1:9" ht="16.2" x14ac:dyDescent="0.3">
      <c r="A57" s="9"/>
      <c r="D57" s="11"/>
      <c r="E57" s="12"/>
      <c r="F57" s="11"/>
      <c r="G57" s="13"/>
      <c r="H57"/>
      <c r="I57"/>
    </row>
    <row r="58" spans="1:9" ht="16.2" x14ac:dyDescent="0.3">
      <c r="A58" s="9"/>
      <c r="D58" s="11"/>
      <c r="E58" s="12"/>
      <c r="F58" s="11"/>
      <c r="G58" s="13"/>
      <c r="H58"/>
      <c r="I58"/>
    </row>
    <row r="59" spans="1:9" ht="16.2" x14ac:dyDescent="0.3">
      <c r="A59" s="9"/>
      <c r="D59" s="11"/>
      <c r="E59" s="12"/>
      <c r="F59" s="11"/>
      <c r="G59" s="13"/>
      <c r="H59"/>
      <c r="I59"/>
    </row>
    <row r="60" spans="1:9" ht="16.2" x14ac:dyDescent="0.3">
      <c r="A60" s="9"/>
      <c r="D60" s="11"/>
      <c r="E60" s="12"/>
      <c r="F60" s="11"/>
      <c r="G60" s="13"/>
      <c r="H60"/>
      <c r="I60"/>
    </row>
    <row r="61" spans="1:9" ht="16.2" x14ac:dyDescent="0.3">
      <c r="A61" s="9"/>
      <c r="D61" s="11"/>
      <c r="E61" s="12"/>
      <c r="F61" s="11"/>
      <c r="G61" s="13"/>
      <c r="H61"/>
      <c r="I61"/>
    </row>
    <row r="62" spans="1:9" ht="16.2" x14ac:dyDescent="0.3">
      <c r="A62" s="9"/>
      <c r="D62" s="11"/>
      <c r="E62" s="12"/>
      <c r="F62" s="11"/>
      <c r="G62" s="13"/>
      <c r="H62"/>
      <c r="I62"/>
    </row>
    <row r="63" spans="1:9" ht="16.2" x14ac:dyDescent="0.3">
      <c r="A63" s="9"/>
      <c r="D63" s="11"/>
      <c r="E63" s="12"/>
      <c r="F63" s="11"/>
      <c r="G63" s="13"/>
      <c r="H63"/>
      <c r="I63"/>
    </row>
    <row r="64" spans="1:9" ht="16.2" x14ac:dyDescent="0.3">
      <c r="A64" s="9"/>
      <c r="D64" s="11"/>
      <c r="E64" s="12"/>
      <c r="F64" s="11"/>
      <c r="G64" s="13"/>
      <c r="H64"/>
      <c r="I64"/>
    </row>
    <row r="65" spans="1:9" ht="16.2" x14ac:dyDescent="0.3">
      <c r="A65" s="9"/>
      <c r="D65" s="11"/>
      <c r="E65" s="12"/>
      <c r="F65" s="11"/>
      <c r="G65" s="13"/>
      <c r="H65"/>
      <c r="I65"/>
    </row>
    <row r="66" spans="1:9" ht="16.2" x14ac:dyDescent="0.3">
      <c r="A66" s="9"/>
      <c r="D66" s="11"/>
      <c r="E66" s="12"/>
      <c r="F66" s="11"/>
      <c r="G66" s="13"/>
      <c r="H66"/>
      <c r="I66"/>
    </row>
    <row r="67" spans="1:9" ht="16.2" x14ac:dyDescent="0.3">
      <c r="A67" s="9"/>
      <c r="D67" s="11"/>
      <c r="E67" s="12"/>
      <c r="F67" s="11"/>
      <c r="G67" s="13"/>
      <c r="H67"/>
      <c r="I67"/>
    </row>
    <row r="68" spans="1:9" ht="16.2" x14ac:dyDescent="0.3">
      <c r="A68" s="9"/>
      <c r="D68" s="11"/>
      <c r="E68" s="12"/>
      <c r="F68" s="11"/>
      <c r="G68" s="13"/>
      <c r="H68"/>
      <c r="I68"/>
    </row>
    <row r="69" spans="1:9" ht="16.2" x14ac:dyDescent="0.3">
      <c r="A69" s="9"/>
      <c r="D69" s="11"/>
      <c r="E69" s="12"/>
      <c r="F69" s="11"/>
      <c r="G69" s="13"/>
      <c r="H69"/>
      <c r="I69"/>
    </row>
    <row r="70" spans="1:9" ht="16.2" x14ac:dyDescent="0.3">
      <c r="A70" s="9"/>
      <c r="D70" s="11"/>
      <c r="E70" s="12"/>
      <c r="F70" s="11"/>
      <c r="G70" s="13"/>
      <c r="H70"/>
      <c r="I70"/>
    </row>
    <row r="71" spans="1:9" ht="16.2" x14ac:dyDescent="0.3">
      <c r="A71" s="9"/>
      <c r="D71" s="11"/>
      <c r="E71" s="12"/>
      <c r="F71" s="11"/>
      <c r="G71" s="13"/>
      <c r="H71"/>
      <c r="I71"/>
    </row>
    <row r="72" spans="1:9" ht="16.2" x14ac:dyDescent="0.3">
      <c r="A72" s="9"/>
      <c r="D72" s="11"/>
      <c r="E72" s="12"/>
      <c r="F72" s="11"/>
      <c r="G72" s="13"/>
      <c r="H72"/>
      <c r="I72"/>
    </row>
    <row r="73" spans="1:9" ht="16.2" x14ac:dyDescent="0.3">
      <c r="A73" s="9"/>
      <c r="D73" s="11"/>
      <c r="E73" s="12"/>
      <c r="F73" s="11"/>
      <c r="G73" s="13"/>
      <c r="H73"/>
      <c r="I73"/>
    </row>
    <row r="74" spans="1:9" ht="16.2" x14ac:dyDescent="0.3">
      <c r="A74" s="9"/>
      <c r="D74" s="11"/>
      <c r="E74" s="12"/>
      <c r="F74" s="11"/>
      <c r="G74" s="13"/>
      <c r="H74"/>
      <c r="I74"/>
    </row>
    <row r="75" spans="1:9" ht="16.2" x14ac:dyDescent="0.3">
      <c r="A75" s="9"/>
      <c r="D75" s="11"/>
      <c r="E75" s="12"/>
      <c r="F75" s="11"/>
      <c r="G75" s="13"/>
      <c r="H75"/>
      <c r="I75"/>
    </row>
    <row r="76" spans="1:9" ht="16.2" x14ac:dyDescent="0.3">
      <c r="A76" s="9"/>
      <c r="D76" s="11"/>
      <c r="E76" s="12"/>
      <c r="F76" s="11"/>
      <c r="G76" s="13"/>
      <c r="H76"/>
      <c r="I76"/>
    </row>
    <row r="77" spans="1:9" ht="16.2" x14ac:dyDescent="0.3">
      <c r="A77" s="9"/>
      <c r="D77" s="11"/>
      <c r="E77" s="12"/>
      <c r="F77" s="11"/>
      <c r="G77" s="13"/>
      <c r="H77"/>
      <c r="I77"/>
    </row>
    <row r="78" spans="1:9" ht="16.2" x14ac:dyDescent="0.3">
      <c r="A78" s="9"/>
      <c r="D78" s="11"/>
      <c r="E78" s="12"/>
      <c r="F78" s="11"/>
      <c r="G78" s="13"/>
      <c r="H78"/>
      <c r="I78"/>
    </row>
    <row r="79" spans="1:9" ht="16.2" x14ac:dyDescent="0.3">
      <c r="A79" s="9"/>
      <c r="D79" s="11"/>
      <c r="E79" s="12"/>
      <c r="F79" s="11"/>
      <c r="G79" s="13"/>
      <c r="H79"/>
      <c r="I79"/>
    </row>
    <row r="80" spans="1:9" ht="16.2" x14ac:dyDescent="0.3">
      <c r="A80" s="9"/>
      <c r="D80" s="11"/>
      <c r="E80" s="12"/>
      <c r="F80" s="11"/>
      <c r="G80" s="13"/>
      <c r="H80"/>
      <c r="I80"/>
    </row>
    <row r="81" spans="1:9" ht="16.2" x14ac:dyDescent="0.3">
      <c r="A81" s="9"/>
      <c r="D81" s="11"/>
      <c r="E81" s="12"/>
      <c r="F81" s="11"/>
      <c r="G81" s="13"/>
      <c r="H81"/>
      <c r="I81"/>
    </row>
    <row r="82" spans="1:9" ht="16.2" x14ac:dyDescent="0.3">
      <c r="A82" s="9"/>
      <c r="D82" s="11"/>
      <c r="E82" s="12"/>
      <c r="F82" s="11"/>
      <c r="G82" s="13"/>
      <c r="H82"/>
      <c r="I82"/>
    </row>
    <row r="83" spans="1:9" ht="16.2" x14ac:dyDescent="0.3">
      <c r="A83" s="9"/>
      <c r="D83" s="11"/>
      <c r="E83" s="12"/>
      <c r="F83" s="11"/>
      <c r="G83" s="13"/>
      <c r="H83"/>
      <c r="I83"/>
    </row>
    <row r="84" spans="1:9" ht="16.2" x14ac:dyDescent="0.3">
      <c r="A84" s="9"/>
      <c r="D84" s="11"/>
      <c r="E84" s="12"/>
      <c r="F84" s="11"/>
      <c r="G84" s="13"/>
      <c r="H84"/>
      <c r="I84"/>
    </row>
    <row r="85" spans="1:9" ht="16.2" x14ac:dyDescent="0.3">
      <c r="A85" s="9"/>
      <c r="D85" s="11"/>
      <c r="E85" s="12"/>
      <c r="F85" s="11"/>
      <c r="G85" s="13"/>
      <c r="H85"/>
      <c r="I85"/>
    </row>
    <row r="86" spans="1:9" ht="16.2" x14ac:dyDescent="0.3">
      <c r="A86" s="9"/>
      <c r="D86" s="11"/>
      <c r="E86" s="12"/>
      <c r="F86" s="11"/>
      <c r="G86" s="13"/>
      <c r="H86"/>
      <c r="I86"/>
    </row>
    <row r="87" spans="1:9" ht="16.2" x14ac:dyDescent="0.3">
      <c r="A87" s="9"/>
      <c r="D87" s="11"/>
      <c r="E87" s="12"/>
      <c r="F87" s="11"/>
      <c r="G87" s="13"/>
      <c r="H87"/>
      <c r="I87"/>
    </row>
    <row r="88" spans="1:9" ht="16.2" x14ac:dyDescent="0.3">
      <c r="A88" s="9"/>
      <c r="D88" s="11"/>
      <c r="E88" s="12"/>
      <c r="F88" s="11"/>
      <c r="G88" s="13"/>
      <c r="H88"/>
      <c r="I88"/>
    </row>
    <row r="89" spans="1:9" ht="16.2" x14ac:dyDescent="0.3">
      <c r="A89" s="9"/>
      <c r="D89" s="11"/>
      <c r="E89" s="12"/>
      <c r="F89" s="11"/>
      <c r="G89" s="13"/>
      <c r="H89"/>
      <c r="I89"/>
    </row>
    <row r="90" spans="1:9" ht="16.2" x14ac:dyDescent="0.3">
      <c r="A90" s="9"/>
      <c r="D90" s="11"/>
      <c r="E90" s="12"/>
      <c r="F90" s="11"/>
      <c r="G90" s="13"/>
      <c r="H90"/>
      <c r="I90"/>
    </row>
    <row r="91" spans="1:9" ht="16.2" x14ac:dyDescent="0.3">
      <c r="A91" s="9"/>
      <c r="D91" s="11"/>
      <c r="E91" s="12"/>
      <c r="F91" s="11"/>
      <c r="G91" s="13"/>
      <c r="H91"/>
      <c r="I91"/>
    </row>
    <row r="92" spans="1:9" ht="16.2" x14ac:dyDescent="0.3">
      <c r="A92" s="9"/>
      <c r="D92" s="11"/>
      <c r="E92" s="12"/>
      <c r="F92" s="11"/>
      <c r="G92" s="13"/>
      <c r="H92"/>
      <c r="I92"/>
    </row>
    <row r="93" spans="1:9" ht="16.2" x14ac:dyDescent="0.3">
      <c r="A93" s="9"/>
      <c r="D93" s="11"/>
      <c r="E93" s="12"/>
      <c r="F93" s="11"/>
      <c r="G93" s="13"/>
      <c r="H93"/>
      <c r="I93"/>
    </row>
    <row r="94" spans="1:9" ht="16.2" x14ac:dyDescent="0.3">
      <c r="A94" s="9"/>
      <c r="D94" s="11"/>
      <c r="E94" s="12"/>
      <c r="F94" s="11"/>
      <c r="G94" s="13"/>
      <c r="H94"/>
      <c r="I94"/>
    </row>
    <row r="95" spans="1:9" ht="16.2" x14ac:dyDescent="0.3">
      <c r="A95" s="9"/>
      <c r="D95" s="11"/>
      <c r="E95" s="12"/>
      <c r="F95" s="11"/>
      <c r="G95" s="13"/>
      <c r="H95"/>
      <c r="I95"/>
    </row>
    <row r="96" spans="1:9" ht="16.2" x14ac:dyDescent="0.3">
      <c r="A96" s="9"/>
      <c r="D96" s="11"/>
      <c r="E96" s="12"/>
      <c r="F96" s="11"/>
      <c r="G96" s="13"/>
      <c r="H96"/>
      <c r="I96"/>
    </row>
    <row r="97" spans="1:9" ht="16.2" x14ac:dyDescent="0.3">
      <c r="A97" s="9"/>
      <c r="D97" s="11"/>
      <c r="E97" s="12"/>
      <c r="F97" s="11"/>
      <c r="G97" s="13"/>
      <c r="H97"/>
      <c r="I97"/>
    </row>
    <row r="98" spans="1:9" ht="16.2" x14ac:dyDescent="0.3">
      <c r="A98" s="9"/>
      <c r="D98" s="11"/>
      <c r="E98" s="12"/>
      <c r="F98" s="11"/>
      <c r="G98" s="13"/>
      <c r="H98"/>
      <c r="I98"/>
    </row>
    <row r="99" spans="1:9" ht="16.2" x14ac:dyDescent="0.3">
      <c r="A99" s="9"/>
      <c r="D99" s="11"/>
      <c r="E99" s="12"/>
      <c r="F99" s="11"/>
      <c r="G99" s="13"/>
      <c r="H99"/>
      <c r="I99"/>
    </row>
    <row r="100" spans="1:9" ht="16.2" x14ac:dyDescent="0.3">
      <c r="A100" s="9"/>
      <c r="D100" s="11"/>
      <c r="E100" s="12"/>
      <c r="F100" s="11"/>
      <c r="G100" s="13"/>
      <c r="H100"/>
      <c r="I100"/>
    </row>
    <row r="101" spans="1:9" ht="16.2" x14ac:dyDescent="0.3">
      <c r="A101" s="9"/>
      <c r="D101" s="11"/>
      <c r="E101" s="12"/>
      <c r="F101" s="11"/>
      <c r="G101" s="13"/>
      <c r="H101"/>
      <c r="I101"/>
    </row>
    <row r="102" spans="1:9" ht="16.2" x14ac:dyDescent="0.3">
      <c r="A102" s="9"/>
      <c r="D102" s="11"/>
      <c r="E102" s="12"/>
      <c r="F102" s="11"/>
      <c r="G102" s="13"/>
      <c r="H102"/>
      <c r="I102"/>
    </row>
    <row r="103" spans="1:9" ht="16.2" x14ac:dyDescent="0.3">
      <c r="A103" s="9"/>
      <c r="D103" s="11"/>
      <c r="E103" s="12"/>
      <c r="F103" s="11"/>
      <c r="G103" s="13"/>
      <c r="H103"/>
      <c r="I103"/>
    </row>
    <row r="104" spans="1:9" ht="16.2" x14ac:dyDescent="0.3">
      <c r="A104" s="9"/>
      <c r="D104" s="11"/>
      <c r="E104" s="12"/>
      <c r="F104" s="11"/>
      <c r="G104" s="13"/>
      <c r="H104"/>
      <c r="I104"/>
    </row>
    <row r="105" spans="1:9" ht="16.2" x14ac:dyDescent="0.3">
      <c r="A105" s="9"/>
      <c r="D105" s="11"/>
      <c r="E105" s="12"/>
      <c r="F105" s="11"/>
      <c r="G105" s="13"/>
      <c r="H105"/>
      <c r="I105"/>
    </row>
    <row r="106" spans="1:9" ht="16.2" x14ac:dyDescent="0.3">
      <c r="A106" s="9"/>
      <c r="D106" s="11"/>
      <c r="E106" s="12"/>
      <c r="F106" s="11"/>
      <c r="G106" s="13"/>
      <c r="H106"/>
      <c r="I106"/>
    </row>
    <row r="107" spans="1:9" ht="16.2" x14ac:dyDescent="0.3">
      <c r="A107" s="9"/>
      <c r="D107" s="11"/>
      <c r="E107" s="12"/>
      <c r="F107" s="11"/>
      <c r="G107" s="13"/>
      <c r="H107"/>
      <c r="I107"/>
    </row>
    <row r="108" spans="1:9" ht="16.2" x14ac:dyDescent="0.3">
      <c r="A108" s="9"/>
      <c r="D108" s="11"/>
      <c r="E108" s="12"/>
      <c r="F108" s="11"/>
      <c r="G108" s="13"/>
      <c r="H108"/>
      <c r="I108"/>
    </row>
    <row r="109" spans="1:9" ht="16.2" x14ac:dyDescent="0.3">
      <c r="A109" s="9"/>
      <c r="D109" s="11"/>
      <c r="E109" s="12"/>
      <c r="F109" s="11"/>
      <c r="G109" s="13"/>
      <c r="H109"/>
      <c r="I109"/>
    </row>
    <row r="110" spans="1:9" ht="16.2" x14ac:dyDescent="0.3">
      <c r="A110" s="9"/>
      <c r="D110" s="11"/>
      <c r="E110" s="12"/>
      <c r="F110" s="11"/>
      <c r="G110" s="13"/>
      <c r="H110"/>
      <c r="I110"/>
    </row>
    <row r="111" spans="1:9" ht="16.2" x14ac:dyDescent="0.3">
      <c r="A111" s="9"/>
      <c r="D111" s="11"/>
      <c r="E111" s="12"/>
      <c r="F111" s="11"/>
      <c r="G111" s="13"/>
      <c r="H111"/>
      <c r="I111"/>
    </row>
    <row r="112" spans="1:9" ht="16.2" x14ac:dyDescent="0.3">
      <c r="A112" s="9"/>
      <c r="D112" s="11"/>
      <c r="E112" s="12"/>
      <c r="F112" s="11"/>
      <c r="G112" s="13"/>
      <c r="H112"/>
      <c r="I112"/>
    </row>
    <row r="113" spans="1:9" ht="16.2" x14ac:dyDescent="0.3">
      <c r="A113" s="9"/>
      <c r="D113" s="11"/>
      <c r="E113" s="12"/>
      <c r="F113" s="11"/>
      <c r="G113" s="13"/>
      <c r="H113"/>
      <c r="I113"/>
    </row>
    <row r="114" spans="1:9" ht="16.2" x14ac:dyDescent="0.3">
      <c r="A114" s="9"/>
      <c r="D114" s="11"/>
      <c r="E114" s="12"/>
      <c r="F114" s="11"/>
      <c r="G114" s="13"/>
      <c r="H114"/>
      <c r="I114"/>
    </row>
    <row r="115" spans="1:9" ht="16.2" x14ac:dyDescent="0.3">
      <c r="A115" s="9"/>
      <c r="D115" s="11"/>
      <c r="E115" s="12"/>
      <c r="F115" s="11"/>
      <c r="G115" s="13"/>
      <c r="H115"/>
      <c r="I115"/>
    </row>
    <row r="116" spans="1:9" ht="16.2" x14ac:dyDescent="0.3">
      <c r="A116" s="9"/>
      <c r="D116" s="11"/>
      <c r="E116" s="12"/>
      <c r="F116" s="11"/>
      <c r="G116" s="13"/>
      <c r="H116"/>
      <c r="I116"/>
    </row>
    <row r="117" spans="1:9" ht="16.2" x14ac:dyDescent="0.3">
      <c r="A117" s="9"/>
      <c r="D117" s="11"/>
      <c r="E117" s="12"/>
      <c r="F117" s="11"/>
      <c r="G117" s="13"/>
      <c r="H117"/>
      <c r="I117"/>
    </row>
    <row r="118" spans="1:9" ht="16.2" x14ac:dyDescent="0.3">
      <c r="A118" s="9"/>
      <c r="D118" s="11"/>
      <c r="E118" s="12"/>
      <c r="F118" s="11"/>
      <c r="G118" s="13"/>
      <c r="H118"/>
      <c r="I118"/>
    </row>
    <row r="119" spans="1:9" ht="16.2" x14ac:dyDescent="0.3">
      <c r="A119" s="9"/>
      <c r="D119" s="11"/>
      <c r="E119" s="12"/>
      <c r="F119" s="11"/>
      <c r="G119" s="13"/>
      <c r="H119"/>
      <c r="I119"/>
    </row>
    <row r="120" spans="1:9" ht="16.2" x14ac:dyDescent="0.3">
      <c r="A120" s="9"/>
      <c r="D120" s="11"/>
      <c r="E120" s="12"/>
      <c r="F120" s="11"/>
      <c r="G120" s="13"/>
      <c r="H120"/>
      <c r="I120"/>
    </row>
    <row r="121" spans="1:9" ht="16.2" x14ac:dyDescent="0.3">
      <c r="A121" s="9"/>
      <c r="D121" s="11"/>
      <c r="E121" s="12"/>
      <c r="F121" s="11"/>
      <c r="G121" s="13"/>
      <c r="H121"/>
      <c r="I121"/>
    </row>
    <row r="122" spans="1:9" ht="16.2" x14ac:dyDescent="0.3">
      <c r="A122" s="9"/>
      <c r="D122" s="11"/>
      <c r="E122" s="12"/>
      <c r="F122" s="11"/>
      <c r="G122" s="13"/>
      <c r="H122"/>
      <c r="I122"/>
    </row>
    <row r="123" spans="1:9" ht="16.2" x14ac:dyDescent="0.3">
      <c r="A123" s="9"/>
      <c r="D123" s="11"/>
      <c r="E123" s="12"/>
      <c r="F123" s="11"/>
      <c r="G123" s="13"/>
      <c r="H123"/>
      <c r="I123"/>
    </row>
    <row r="124" spans="1:9" ht="16.2" x14ac:dyDescent="0.3">
      <c r="A124" s="9"/>
      <c r="D124" s="11"/>
      <c r="E124" s="12"/>
      <c r="F124" s="11"/>
      <c r="G124" s="13"/>
      <c r="H124"/>
      <c r="I124"/>
    </row>
    <row r="125" spans="1:9" ht="16.2" x14ac:dyDescent="0.3">
      <c r="A125" s="9"/>
      <c r="D125" s="11"/>
      <c r="E125" s="12"/>
      <c r="F125" s="11"/>
      <c r="G125" s="13"/>
      <c r="H125"/>
      <c r="I125"/>
    </row>
    <row r="126" spans="1:9" ht="16.2" x14ac:dyDescent="0.3">
      <c r="A126" s="9"/>
      <c r="D126" s="11"/>
      <c r="E126" s="12"/>
      <c r="F126" s="11"/>
      <c r="G126" s="13"/>
      <c r="H126"/>
      <c r="I126"/>
    </row>
    <row r="127" spans="1:9" ht="16.2" x14ac:dyDescent="0.3">
      <c r="A127" s="9"/>
      <c r="D127" s="11"/>
      <c r="E127" s="12"/>
      <c r="F127" s="11"/>
      <c r="G127" s="13"/>
      <c r="H127"/>
      <c r="I127"/>
    </row>
    <row r="128" spans="1:9" ht="16.2" x14ac:dyDescent="0.3">
      <c r="A128" s="9"/>
      <c r="D128" s="11"/>
      <c r="E128" s="12"/>
      <c r="F128" s="11"/>
      <c r="G128" s="13"/>
      <c r="H128"/>
      <c r="I128"/>
    </row>
    <row r="129" spans="1:9" ht="16.2" x14ac:dyDescent="0.3">
      <c r="A129" s="9"/>
      <c r="D129" s="11"/>
      <c r="E129" s="12"/>
      <c r="F129" s="11"/>
      <c r="G129" s="13"/>
      <c r="H129"/>
      <c r="I129"/>
    </row>
    <row r="130" spans="1:9" ht="16.2" x14ac:dyDescent="0.3">
      <c r="A130" s="9"/>
      <c r="D130" s="11"/>
      <c r="E130" s="12"/>
      <c r="F130" s="11"/>
      <c r="G130" s="13"/>
      <c r="H130"/>
      <c r="I130"/>
    </row>
    <row r="131" spans="1:9" ht="16.2" x14ac:dyDescent="0.3">
      <c r="A131" s="9"/>
      <c r="D131" s="11"/>
      <c r="E131" s="12"/>
      <c r="F131" s="11"/>
      <c r="G131" s="13"/>
      <c r="H131"/>
      <c r="I131"/>
    </row>
    <row r="132" spans="1:9" ht="16.2" x14ac:dyDescent="0.3">
      <c r="A132" s="9"/>
      <c r="D132" s="11"/>
      <c r="E132" s="12"/>
      <c r="F132" s="11"/>
      <c r="G132" s="13"/>
      <c r="H132"/>
      <c r="I132"/>
    </row>
    <row r="133" spans="1:9" ht="16.2" x14ac:dyDescent="0.3">
      <c r="A133" s="9"/>
      <c r="D133" s="11"/>
      <c r="E133" s="12"/>
      <c r="F133" s="11"/>
      <c r="G133" s="13"/>
      <c r="H133"/>
      <c r="I133"/>
    </row>
    <row r="134" spans="1:9" ht="16.2" x14ac:dyDescent="0.3">
      <c r="A134" s="9"/>
      <c r="D134" s="11"/>
      <c r="E134" s="12"/>
      <c r="F134" s="11"/>
      <c r="G134" s="13"/>
      <c r="H134"/>
      <c r="I134"/>
    </row>
    <row r="135" spans="1:9" ht="16.2" x14ac:dyDescent="0.3">
      <c r="A135" s="9"/>
      <c r="D135" s="11"/>
      <c r="E135" s="12"/>
      <c r="F135" s="11"/>
      <c r="G135" s="13"/>
      <c r="H135"/>
      <c r="I135"/>
    </row>
    <row r="136" spans="1:9" ht="16.2" x14ac:dyDescent="0.3">
      <c r="A136" s="9"/>
      <c r="D136" s="11"/>
      <c r="E136" s="12"/>
      <c r="F136" s="11"/>
      <c r="G136" s="13"/>
      <c r="H136"/>
      <c r="I136"/>
    </row>
    <row r="137" spans="1:9" ht="16.2" x14ac:dyDescent="0.3">
      <c r="A137" s="9"/>
      <c r="D137" s="11"/>
      <c r="E137" s="12"/>
      <c r="F137" s="11"/>
      <c r="G137" s="13"/>
      <c r="H137"/>
      <c r="I137"/>
    </row>
    <row r="138" spans="1:9" ht="16.2" x14ac:dyDescent="0.3">
      <c r="A138" s="9"/>
      <c r="D138" s="11"/>
      <c r="E138" s="12"/>
      <c r="F138" s="11"/>
      <c r="G138" s="13"/>
      <c r="H138"/>
      <c r="I138"/>
    </row>
    <row r="139" spans="1:9" ht="16.2" x14ac:dyDescent="0.3">
      <c r="A139" s="9"/>
      <c r="D139" s="11"/>
      <c r="E139" s="12"/>
      <c r="F139" s="11"/>
      <c r="G139" s="13"/>
      <c r="H139"/>
      <c r="I139"/>
    </row>
    <row r="140" spans="1:9" ht="16.2" x14ac:dyDescent="0.3">
      <c r="A140" s="9"/>
      <c r="D140" s="11"/>
      <c r="E140" s="12"/>
      <c r="F140" s="11"/>
      <c r="G140" s="13"/>
      <c r="H140"/>
      <c r="I140"/>
    </row>
    <row r="141" spans="1:9" ht="16.2" x14ac:dyDescent="0.3">
      <c r="A141" s="9"/>
      <c r="D141" s="11"/>
      <c r="E141" s="12"/>
      <c r="F141" s="11"/>
      <c r="G141" s="13"/>
      <c r="H141"/>
      <c r="I141"/>
    </row>
    <row r="142" spans="1:9" ht="16.2" x14ac:dyDescent="0.3">
      <c r="A142" s="9"/>
      <c r="D142" s="11"/>
      <c r="E142" s="12"/>
      <c r="F142" s="11"/>
      <c r="G142" s="13"/>
      <c r="H142"/>
      <c r="I142"/>
    </row>
    <row r="143" spans="1:9" ht="16.2" x14ac:dyDescent="0.3">
      <c r="A143" s="9"/>
      <c r="D143" s="11"/>
      <c r="E143" s="12"/>
      <c r="F143" s="11"/>
      <c r="G143" s="13"/>
      <c r="H143"/>
      <c r="I143"/>
    </row>
    <row r="144" spans="1:9" ht="16.2" x14ac:dyDescent="0.3">
      <c r="A144" s="9"/>
      <c r="D144" s="11"/>
      <c r="E144" s="12"/>
      <c r="F144" s="11"/>
      <c r="G144" s="13"/>
      <c r="H144"/>
      <c r="I144"/>
    </row>
    <row r="145" spans="1:9" ht="16.2" x14ac:dyDescent="0.3">
      <c r="A145" s="9"/>
      <c r="D145" s="11"/>
      <c r="E145" s="12"/>
      <c r="F145" s="11"/>
      <c r="G145" s="13"/>
      <c r="H145"/>
      <c r="I145"/>
    </row>
    <row r="146" spans="1:9" ht="16.2" x14ac:dyDescent="0.3">
      <c r="A146" s="9"/>
      <c r="D146" s="11"/>
      <c r="E146" s="12"/>
      <c r="F146" s="11"/>
      <c r="G146" s="13"/>
      <c r="H146"/>
      <c r="I146"/>
    </row>
    <row r="147" spans="1:9" ht="16.2" x14ac:dyDescent="0.3">
      <c r="A147" s="9"/>
      <c r="D147" s="11"/>
      <c r="E147" s="12"/>
      <c r="F147" s="11"/>
      <c r="G147" s="13"/>
      <c r="H147"/>
      <c r="I147"/>
    </row>
    <row r="148" spans="1:9" ht="16.2" x14ac:dyDescent="0.3">
      <c r="A148" s="9"/>
      <c r="D148" s="11"/>
      <c r="E148" s="12"/>
      <c r="F148" s="11"/>
      <c r="G148" s="13"/>
      <c r="H148"/>
      <c r="I148"/>
    </row>
    <row r="149" spans="1:9" ht="16.2" x14ac:dyDescent="0.3">
      <c r="A149" s="9"/>
      <c r="D149" s="11"/>
      <c r="E149" s="12"/>
      <c r="F149" s="11"/>
      <c r="G149" s="13"/>
      <c r="H149"/>
      <c r="I149"/>
    </row>
    <row r="150" spans="1:9" ht="16.2" x14ac:dyDescent="0.3">
      <c r="A150" s="9"/>
      <c r="D150" s="11"/>
      <c r="E150" s="12"/>
      <c r="F150" s="11"/>
      <c r="G150" s="13"/>
      <c r="H150"/>
      <c r="I150"/>
    </row>
    <row r="151" spans="1:9" ht="16.2" x14ac:dyDescent="0.3">
      <c r="A151" s="9"/>
      <c r="D151" s="11"/>
      <c r="E151" s="12"/>
      <c r="F151" s="11"/>
      <c r="G151" s="13"/>
      <c r="H151"/>
      <c r="I151"/>
    </row>
    <row r="152" spans="1:9" ht="16.2" x14ac:dyDescent="0.3">
      <c r="A152" s="9"/>
      <c r="D152" s="11"/>
      <c r="E152" s="12"/>
      <c r="F152" s="11"/>
      <c r="G152" s="13"/>
      <c r="H152"/>
      <c r="I152"/>
    </row>
    <row r="153" spans="1:9" ht="16.2" x14ac:dyDescent="0.3">
      <c r="A153" s="9"/>
      <c r="D153" s="11"/>
      <c r="E153" s="12"/>
      <c r="F153" s="11"/>
      <c r="G153" s="13"/>
      <c r="H153"/>
      <c r="I153"/>
    </row>
    <row r="154" spans="1:9" ht="16.2" x14ac:dyDescent="0.3">
      <c r="A154" s="9"/>
      <c r="D154" s="11"/>
      <c r="E154" s="12"/>
      <c r="F154" s="11"/>
      <c r="G154" s="13"/>
      <c r="H154"/>
      <c r="I154"/>
    </row>
    <row r="155" spans="1:9" ht="16.2" x14ac:dyDescent="0.3">
      <c r="A155" s="9"/>
      <c r="D155" s="11"/>
      <c r="E155" s="12"/>
      <c r="F155" s="11"/>
      <c r="G155" s="13"/>
      <c r="H155"/>
      <c r="I155"/>
    </row>
    <row r="156" spans="1:9" ht="16.2" x14ac:dyDescent="0.3">
      <c r="A156" s="9"/>
      <c r="D156" s="11"/>
      <c r="E156" s="12"/>
      <c r="F156" s="11"/>
      <c r="G156" s="13"/>
      <c r="H156"/>
      <c r="I156"/>
    </row>
    <row r="157" spans="1:9" ht="16.2" x14ac:dyDescent="0.3">
      <c r="A157" s="9"/>
      <c r="D157" s="11"/>
      <c r="E157" s="12"/>
      <c r="F157" s="11"/>
      <c r="G157" s="13"/>
      <c r="H157"/>
      <c r="I157"/>
    </row>
    <row r="158" spans="1:9" ht="16.2" x14ac:dyDescent="0.3">
      <c r="A158" s="9"/>
      <c r="D158" s="11"/>
      <c r="E158" s="12"/>
      <c r="F158" s="11"/>
      <c r="G158" s="13"/>
      <c r="H158"/>
      <c r="I158"/>
    </row>
    <row r="159" spans="1:9" ht="16.2" x14ac:dyDescent="0.3">
      <c r="A159" s="9"/>
      <c r="D159" s="11"/>
      <c r="E159" s="12"/>
      <c r="F159" s="11"/>
      <c r="G159" s="13"/>
      <c r="H159"/>
      <c r="I159"/>
    </row>
    <row r="160" spans="1:9" ht="16.2" x14ac:dyDescent="0.3">
      <c r="A160" s="9"/>
      <c r="D160" s="11"/>
      <c r="E160" s="12"/>
      <c r="F160" s="11"/>
      <c r="G160" s="13"/>
      <c r="H160"/>
      <c r="I160"/>
    </row>
    <row r="161" spans="1:9" ht="16.2" x14ac:dyDescent="0.3">
      <c r="A161" s="9"/>
      <c r="D161" s="11"/>
      <c r="E161" s="12"/>
      <c r="F161" s="11"/>
      <c r="G161" s="13"/>
      <c r="H161"/>
      <c r="I161"/>
    </row>
    <row r="162" spans="1:9" ht="16.2" x14ac:dyDescent="0.3">
      <c r="A162" s="9"/>
      <c r="D162" s="11"/>
      <c r="E162" s="12"/>
      <c r="F162" s="11"/>
      <c r="G162" s="13"/>
      <c r="H162"/>
      <c r="I162"/>
    </row>
    <row r="163" spans="1:9" ht="16.2" x14ac:dyDescent="0.3">
      <c r="A163" s="9"/>
      <c r="D163" s="11"/>
      <c r="E163" s="12"/>
      <c r="F163" s="11"/>
      <c r="G163" s="13"/>
      <c r="H163"/>
      <c r="I163"/>
    </row>
    <row r="164" spans="1:9" ht="16.2" x14ac:dyDescent="0.3">
      <c r="A164" s="9"/>
      <c r="D164" s="11"/>
      <c r="E164" s="12"/>
      <c r="F164" s="11"/>
      <c r="G164" s="13"/>
      <c r="H164"/>
      <c r="I164"/>
    </row>
    <row r="165" spans="1:9" ht="16.2" x14ac:dyDescent="0.3">
      <c r="A165" s="9"/>
      <c r="D165" s="11"/>
      <c r="E165" s="12"/>
      <c r="F165" s="11"/>
      <c r="G165" s="13"/>
      <c r="H165"/>
      <c r="I165"/>
    </row>
    <row r="166" spans="1:9" ht="16.2" x14ac:dyDescent="0.3">
      <c r="A166" s="9"/>
      <c r="D166" s="11"/>
      <c r="E166" s="12"/>
      <c r="F166" s="11"/>
      <c r="G166" s="13"/>
      <c r="H166"/>
      <c r="I166"/>
    </row>
    <row r="167" spans="1:9" ht="16.2" x14ac:dyDescent="0.3">
      <c r="A167" s="9"/>
      <c r="D167" s="11"/>
      <c r="E167" s="12"/>
      <c r="F167" s="11"/>
      <c r="G167" s="13"/>
      <c r="H167"/>
      <c r="I167"/>
    </row>
    <row r="168" spans="1:9" ht="16.2" x14ac:dyDescent="0.3">
      <c r="A168" s="9"/>
      <c r="D168" s="11"/>
      <c r="E168" s="12"/>
      <c r="F168" s="11"/>
      <c r="G168" s="13"/>
      <c r="H168"/>
      <c r="I168"/>
    </row>
    <row r="169" spans="1:9" ht="16.2" x14ac:dyDescent="0.3">
      <c r="A169" s="9"/>
      <c r="D169" s="11"/>
      <c r="E169" s="12"/>
      <c r="F169" s="11"/>
      <c r="G169" s="13"/>
      <c r="H169"/>
      <c r="I169"/>
    </row>
    <row r="170" spans="1:9" ht="16.2" x14ac:dyDescent="0.3">
      <c r="A170" s="9"/>
      <c r="D170" s="11"/>
      <c r="E170" s="12"/>
      <c r="F170" s="11"/>
      <c r="G170" s="13"/>
      <c r="H170"/>
      <c r="I170"/>
    </row>
    <row r="171" spans="1:9" ht="16.2" x14ac:dyDescent="0.3">
      <c r="A171" s="9"/>
      <c r="D171" s="11"/>
      <c r="E171" s="12"/>
      <c r="F171" s="11"/>
      <c r="G171" s="13"/>
      <c r="H171"/>
      <c r="I171"/>
    </row>
    <row r="172" spans="1:9" ht="16.2" x14ac:dyDescent="0.3">
      <c r="A172" s="9"/>
      <c r="D172" s="11"/>
      <c r="E172" s="12"/>
      <c r="F172" s="11"/>
      <c r="G172" s="13"/>
      <c r="H172"/>
      <c r="I172"/>
    </row>
    <row r="173" spans="1:9" ht="16.2" x14ac:dyDescent="0.3">
      <c r="A173" s="9"/>
      <c r="G173" s="11"/>
      <c r="H173"/>
      <c r="I173"/>
    </row>
    <row r="174" spans="1:9" ht="16.2" x14ac:dyDescent="0.3">
      <c r="A174" s="9"/>
      <c r="G174" s="11"/>
      <c r="H174"/>
      <c r="I174"/>
    </row>
    <row r="175" spans="1:9" ht="16.2" x14ac:dyDescent="0.3">
      <c r="A175" s="9"/>
      <c r="G175" s="11"/>
      <c r="H175"/>
      <c r="I175"/>
    </row>
    <row r="176" spans="1:9" ht="16.2" x14ac:dyDescent="0.3">
      <c r="A176" s="9"/>
      <c r="G176" s="11"/>
      <c r="H176"/>
      <c r="I176"/>
    </row>
    <row r="177" spans="1:9" ht="16.2" x14ac:dyDescent="0.3">
      <c r="A177" s="9"/>
      <c r="G177" s="11"/>
      <c r="H177"/>
      <c r="I177"/>
    </row>
    <row r="178" spans="1:9" ht="16.2" x14ac:dyDescent="0.3">
      <c r="A178" s="9"/>
      <c r="G178" s="11"/>
      <c r="H178"/>
      <c r="I178"/>
    </row>
    <row r="179" spans="1:9" ht="16.2" x14ac:dyDescent="0.3">
      <c r="A179" s="9"/>
      <c r="G179" s="11"/>
      <c r="H179"/>
      <c r="I179"/>
    </row>
    <row r="180" spans="1:9" ht="16.2" x14ac:dyDescent="0.3">
      <c r="A180" s="9"/>
      <c r="G180" s="11"/>
      <c r="H180"/>
      <c r="I180"/>
    </row>
    <row r="181" spans="1:9" ht="16.2" x14ac:dyDescent="0.3">
      <c r="A181" s="9"/>
      <c r="G181" s="11"/>
      <c r="H181"/>
      <c r="I181"/>
    </row>
    <row r="182" spans="1:9" ht="16.2" x14ac:dyDescent="0.3">
      <c r="A182" s="9"/>
      <c r="G182" s="11"/>
      <c r="H182"/>
      <c r="I182"/>
    </row>
    <row r="183" spans="1:9" ht="16.2" x14ac:dyDescent="0.3">
      <c r="A183" s="9"/>
      <c r="G183" s="11"/>
      <c r="H183"/>
      <c r="I183"/>
    </row>
    <row r="184" spans="1:9" ht="16.2" x14ac:dyDescent="0.3">
      <c r="A184" s="9"/>
      <c r="G184" s="11"/>
      <c r="H184"/>
      <c r="I184"/>
    </row>
    <row r="185" spans="1:9" ht="16.2" x14ac:dyDescent="0.3">
      <c r="A185" s="9"/>
      <c r="G185" s="11"/>
      <c r="H185"/>
      <c r="I185"/>
    </row>
    <row r="186" spans="1:9" ht="16.2" x14ac:dyDescent="0.3">
      <c r="A186" s="9"/>
      <c r="G186" s="11"/>
      <c r="H186"/>
      <c r="I186"/>
    </row>
    <row r="187" spans="1:9" ht="16.2" x14ac:dyDescent="0.3">
      <c r="A187" s="9"/>
      <c r="G187" s="11"/>
      <c r="H187"/>
      <c r="I187"/>
    </row>
    <row r="188" spans="1:9" ht="16.2" x14ac:dyDescent="0.3">
      <c r="A188" s="9"/>
      <c r="G188" s="11"/>
      <c r="H188"/>
      <c r="I188"/>
    </row>
    <row r="189" spans="1:9" ht="16.2" x14ac:dyDescent="0.3">
      <c r="A189" s="9"/>
      <c r="G189" s="11"/>
      <c r="H189"/>
      <c r="I189"/>
    </row>
    <row r="190" spans="1:9" ht="16.2" x14ac:dyDescent="0.3">
      <c r="A190" s="9"/>
      <c r="G190" s="11"/>
      <c r="H190"/>
      <c r="I190"/>
    </row>
    <row r="191" spans="1:9" ht="16.2" x14ac:dyDescent="0.3">
      <c r="A191" s="9"/>
      <c r="G191" s="11"/>
      <c r="H191"/>
      <c r="I191"/>
    </row>
    <row r="192" spans="1:9" ht="16.2" x14ac:dyDescent="0.3">
      <c r="A192" s="9"/>
      <c r="G192" s="11"/>
      <c r="H192"/>
      <c r="I192"/>
    </row>
    <row r="193" spans="1:9" ht="16.2" x14ac:dyDescent="0.3">
      <c r="A193" s="9"/>
      <c r="G193" s="11"/>
      <c r="H193"/>
      <c r="I193"/>
    </row>
    <row r="194" spans="1:9" ht="16.2" x14ac:dyDescent="0.3">
      <c r="A194" s="9"/>
      <c r="G194" s="11"/>
      <c r="H194"/>
      <c r="I194"/>
    </row>
    <row r="195" spans="1:9" ht="16.2" x14ac:dyDescent="0.3">
      <c r="A195" s="9"/>
      <c r="G195" s="11"/>
      <c r="H195"/>
      <c r="I195"/>
    </row>
    <row r="196" spans="1:9" ht="16.2" x14ac:dyDescent="0.3">
      <c r="A196" s="9"/>
      <c r="G196" s="11"/>
      <c r="H196"/>
      <c r="I196"/>
    </row>
    <row r="197" spans="1:9" ht="16.2" x14ac:dyDescent="0.3">
      <c r="A197" s="9"/>
      <c r="G197" s="11"/>
      <c r="H197"/>
      <c r="I197"/>
    </row>
    <row r="198" spans="1:9" ht="16.2" x14ac:dyDescent="0.3">
      <c r="A198" s="9"/>
      <c r="G198" s="11"/>
      <c r="H198"/>
      <c r="I198"/>
    </row>
    <row r="199" spans="1:9" ht="16.2" x14ac:dyDescent="0.3">
      <c r="A199" s="9"/>
      <c r="G199" s="11"/>
      <c r="H199"/>
      <c r="I199"/>
    </row>
    <row r="200" spans="1:9" ht="16.2" x14ac:dyDescent="0.3">
      <c r="A200" s="9"/>
      <c r="G200" s="11"/>
      <c r="H200"/>
      <c r="I200"/>
    </row>
    <row r="201" spans="1:9" ht="16.2" x14ac:dyDescent="0.3">
      <c r="A201" s="9"/>
      <c r="G201" s="11"/>
      <c r="H201"/>
      <c r="I201"/>
    </row>
    <row r="202" spans="1:9" ht="16.2" x14ac:dyDescent="0.3">
      <c r="A202" s="9"/>
      <c r="G202" s="11"/>
      <c r="H202"/>
      <c r="I202"/>
    </row>
    <row r="203" spans="1:9" ht="16.2" x14ac:dyDescent="0.3">
      <c r="A203" s="9"/>
      <c r="G203" s="11"/>
      <c r="H203"/>
      <c r="I203"/>
    </row>
    <row r="204" spans="1:9" ht="16.2" x14ac:dyDescent="0.3">
      <c r="A204" s="9"/>
      <c r="G204" s="11"/>
      <c r="H204"/>
      <c r="I204"/>
    </row>
    <row r="205" spans="1:9" ht="16.2" x14ac:dyDescent="0.3">
      <c r="A205" s="9"/>
      <c r="G205" s="11"/>
      <c r="H205"/>
      <c r="I205"/>
    </row>
    <row r="206" spans="1:9" ht="16.2" x14ac:dyDescent="0.3">
      <c r="A206" s="9"/>
      <c r="G206" s="11"/>
      <c r="H206"/>
      <c r="I206"/>
    </row>
    <row r="207" spans="1:9" ht="16.2" x14ac:dyDescent="0.3">
      <c r="A207" s="9"/>
      <c r="G207" s="11"/>
      <c r="H207"/>
      <c r="I207"/>
    </row>
    <row r="208" spans="1:9" ht="16.2" x14ac:dyDescent="0.3">
      <c r="A208" s="9"/>
      <c r="G208" s="11"/>
      <c r="H208"/>
      <c r="I208"/>
    </row>
    <row r="209" spans="1:9" ht="16.2" x14ac:dyDescent="0.3">
      <c r="A209" s="9"/>
      <c r="G209" s="11"/>
      <c r="H209"/>
      <c r="I209"/>
    </row>
    <row r="210" spans="1:9" ht="16.2" x14ac:dyDescent="0.3">
      <c r="A210" s="9"/>
      <c r="G210" s="11"/>
      <c r="H210"/>
      <c r="I210"/>
    </row>
    <row r="211" spans="1:9" ht="16.2" x14ac:dyDescent="0.3">
      <c r="A211" s="9"/>
      <c r="G211" s="11"/>
      <c r="H211"/>
      <c r="I211"/>
    </row>
    <row r="212" spans="1:9" ht="16.2" x14ac:dyDescent="0.3">
      <c r="A212" s="9"/>
      <c r="G212" s="11"/>
      <c r="H212"/>
      <c r="I212"/>
    </row>
    <row r="213" spans="1:9" ht="16.2" x14ac:dyDescent="0.3">
      <c r="A213" s="9"/>
      <c r="G213" s="11"/>
      <c r="H213"/>
      <c r="I213"/>
    </row>
    <row r="214" spans="1:9" ht="16.2" x14ac:dyDescent="0.3">
      <c r="A214" s="9"/>
      <c r="G214" s="11"/>
      <c r="H214"/>
      <c r="I214"/>
    </row>
    <row r="215" spans="1:9" ht="16.2" x14ac:dyDescent="0.3">
      <c r="A215" s="9"/>
      <c r="G215" s="11"/>
      <c r="H215"/>
      <c r="I215"/>
    </row>
    <row r="216" spans="1:9" ht="16.2" x14ac:dyDescent="0.3">
      <c r="A216" s="9"/>
      <c r="G216" s="11"/>
      <c r="H216"/>
      <c r="I216"/>
    </row>
    <row r="217" spans="1:9" ht="16.2" x14ac:dyDescent="0.3">
      <c r="A217" s="9"/>
      <c r="G217" s="11"/>
      <c r="H217"/>
      <c r="I217"/>
    </row>
    <row r="218" spans="1:9" ht="16.2" x14ac:dyDescent="0.3">
      <c r="A218" s="9"/>
      <c r="G218" s="11"/>
      <c r="H218"/>
      <c r="I218"/>
    </row>
    <row r="219" spans="1:9" ht="16.2" x14ac:dyDescent="0.3">
      <c r="A219" s="9"/>
      <c r="G219" s="11"/>
      <c r="H219"/>
      <c r="I219"/>
    </row>
    <row r="220" spans="1:9" ht="16.2" x14ac:dyDescent="0.3">
      <c r="A220" s="9"/>
      <c r="G220" s="11"/>
      <c r="H220"/>
      <c r="I220"/>
    </row>
    <row r="221" spans="1:9" ht="16.2" x14ac:dyDescent="0.3">
      <c r="A221" s="9"/>
      <c r="G221" s="11"/>
      <c r="H221"/>
      <c r="I221"/>
    </row>
    <row r="222" spans="1:9" ht="16.2" x14ac:dyDescent="0.3">
      <c r="A222" s="9"/>
      <c r="G222" s="11"/>
      <c r="H222"/>
      <c r="I222"/>
    </row>
    <row r="223" spans="1:9" ht="16.2" x14ac:dyDescent="0.3">
      <c r="A223" s="9"/>
      <c r="G223" s="11"/>
      <c r="H223"/>
      <c r="I223"/>
    </row>
    <row r="224" spans="1:9" ht="16.2" x14ac:dyDescent="0.3">
      <c r="A224" s="9"/>
      <c r="G224" s="11"/>
      <c r="H224"/>
      <c r="I224"/>
    </row>
    <row r="225" spans="1:9" ht="16.2" x14ac:dyDescent="0.3">
      <c r="A225" s="9"/>
      <c r="G225" s="11"/>
      <c r="H225"/>
      <c r="I225"/>
    </row>
    <row r="226" spans="1:9" ht="16.2" x14ac:dyDescent="0.3">
      <c r="A226" s="9"/>
      <c r="G226" s="11"/>
      <c r="H226"/>
      <c r="I226"/>
    </row>
    <row r="227" spans="1:9" ht="16.2" x14ac:dyDescent="0.3">
      <c r="A227" s="9"/>
      <c r="G227" s="11"/>
      <c r="H227"/>
      <c r="I227"/>
    </row>
    <row r="228" spans="1:9" ht="16.2" x14ac:dyDescent="0.3">
      <c r="A228" s="9"/>
      <c r="G228" s="11"/>
      <c r="H228"/>
      <c r="I228"/>
    </row>
    <row r="229" spans="1:9" ht="16.2" x14ac:dyDescent="0.3">
      <c r="A229" s="9"/>
      <c r="G229" s="11"/>
      <c r="H229"/>
      <c r="I229"/>
    </row>
    <row r="230" spans="1:9" ht="16.2" x14ac:dyDescent="0.3">
      <c r="A230" s="9"/>
      <c r="G230" s="11"/>
      <c r="H230"/>
      <c r="I230"/>
    </row>
    <row r="231" spans="1:9" ht="16.2" x14ac:dyDescent="0.3">
      <c r="G231" s="11"/>
      <c r="H231"/>
      <c r="I231"/>
    </row>
    <row r="232" spans="1:9" ht="16.2" x14ac:dyDescent="0.3">
      <c r="G232" s="11"/>
      <c r="H232"/>
      <c r="I232"/>
    </row>
    <row r="233" spans="1:9" ht="16.2" x14ac:dyDescent="0.3">
      <c r="G233" s="11"/>
      <c r="H233"/>
      <c r="I233"/>
    </row>
    <row r="234" spans="1:9" ht="16.2" x14ac:dyDescent="0.3">
      <c r="G234" s="11"/>
      <c r="H234"/>
      <c r="I234"/>
    </row>
    <row r="235" spans="1:9" ht="16.2" x14ac:dyDescent="0.3">
      <c r="G235" s="11"/>
      <c r="H235"/>
      <c r="I235"/>
    </row>
    <row r="236" spans="1:9" ht="16.2" x14ac:dyDescent="0.3">
      <c r="G236" s="11"/>
      <c r="H236"/>
      <c r="I236"/>
    </row>
    <row r="237" spans="1:9" ht="16.2" x14ac:dyDescent="0.3">
      <c r="G237" s="11"/>
      <c r="H237"/>
      <c r="I237"/>
    </row>
    <row r="238" spans="1:9" ht="16.2" x14ac:dyDescent="0.3">
      <c r="G238" s="11"/>
      <c r="H238"/>
      <c r="I238"/>
    </row>
    <row r="239" spans="1:9" ht="16.2" x14ac:dyDescent="0.3">
      <c r="G239" s="11"/>
      <c r="H239"/>
      <c r="I239"/>
    </row>
    <row r="240" spans="1:9" ht="16.2" x14ac:dyDescent="0.3">
      <c r="G240" s="11"/>
      <c r="H240"/>
      <c r="I240"/>
    </row>
    <row r="241" spans="7:9" ht="16.2" x14ac:dyDescent="0.3">
      <c r="G241" s="11"/>
      <c r="H241"/>
      <c r="I241"/>
    </row>
    <row r="242" spans="7:9" ht="16.2" x14ac:dyDescent="0.3">
      <c r="G242" s="11"/>
      <c r="H242"/>
      <c r="I242"/>
    </row>
    <row r="243" spans="7:9" ht="16.2" x14ac:dyDescent="0.3">
      <c r="G243" s="11"/>
      <c r="H243"/>
      <c r="I243"/>
    </row>
    <row r="244" spans="7:9" ht="16.2" x14ac:dyDescent="0.3">
      <c r="G244" s="11"/>
      <c r="H244"/>
      <c r="I244"/>
    </row>
    <row r="245" spans="7:9" ht="16.2" x14ac:dyDescent="0.3">
      <c r="G245" s="11"/>
      <c r="H245"/>
      <c r="I245"/>
    </row>
    <row r="246" spans="7:9" ht="16.2" x14ac:dyDescent="0.3">
      <c r="G246" s="11"/>
      <c r="H246"/>
      <c r="I246"/>
    </row>
    <row r="247" spans="7:9" ht="16.2" x14ac:dyDescent="0.3">
      <c r="G247" s="11"/>
      <c r="H247"/>
      <c r="I247"/>
    </row>
    <row r="248" spans="7:9" ht="16.2" x14ac:dyDescent="0.3">
      <c r="G248" s="11"/>
      <c r="H248"/>
      <c r="I248"/>
    </row>
    <row r="249" spans="7:9" ht="16.2" x14ac:dyDescent="0.3">
      <c r="G249" s="11"/>
      <c r="H249"/>
      <c r="I249"/>
    </row>
    <row r="250" spans="7:9" ht="16.2" x14ac:dyDescent="0.3">
      <c r="G250" s="11"/>
      <c r="H250"/>
      <c r="I250"/>
    </row>
    <row r="251" spans="7:9" ht="16.2" x14ac:dyDescent="0.3">
      <c r="G251" s="11"/>
      <c r="H251"/>
      <c r="I251"/>
    </row>
    <row r="252" spans="7:9" ht="16.2" x14ac:dyDescent="0.3">
      <c r="G252" s="11"/>
      <c r="H252"/>
      <c r="I252"/>
    </row>
    <row r="253" spans="7:9" ht="16.2" x14ac:dyDescent="0.3">
      <c r="G253" s="11"/>
      <c r="H253"/>
      <c r="I253"/>
    </row>
    <row r="254" spans="7:9" ht="16.2" x14ac:dyDescent="0.3">
      <c r="G254" s="11"/>
      <c r="H254"/>
      <c r="I254"/>
    </row>
    <row r="255" spans="7:9" ht="16.2" x14ac:dyDescent="0.3">
      <c r="G255" s="11"/>
      <c r="H255"/>
      <c r="I255"/>
    </row>
    <row r="256" spans="7:9" ht="16.2" x14ac:dyDescent="0.3">
      <c r="G256" s="11"/>
      <c r="H256"/>
      <c r="I256"/>
    </row>
    <row r="257" spans="7:9" ht="16.2" x14ac:dyDescent="0.3">
      <c r="G257" s="11"/>
      <c r="H257"/>
      <c r="I257"/>
    </row>
    <row r="258" spans="7:9" ht="16.2" x14ac:dyDescent="0.3">
      <c r="G258" s="11"/>
      <c r="H258"/>
      <c r="I258"/>
    </row>
    <row r="259" spans="7:9" ht="16.2" x14ac:dyDescent="0.3">
      <c r="G259" s="11"/>
      <c r="H259"/>
      <c r="I259"/>
    </row>
    <row r="260" spans="7:9" ht="16.2" x14ac:dyDescent="0.3">
      <c r="G260" s="11"/>
      <c r="H260"/>
      <c r="I260"/>
    </row>
    <row r="261" spans="7:9" ht="16.2" x14ac:dyDescent="0.3">
      <c r="G261" s="11"/>
      <c r="H261"/>
      <c r="I261"/>
    </row>
    <row r="262" spans="7:9" ht="16.2" x14ac:dyDescent="0.3">
      <c r="G262" s="11"/>
      <c r="H262"/>
      <c r="I262"/>
    </row>
    <row r="263" spans="7:9" ht="16.2" x14ac:dyDescent="0.3">
      <c r="G263" s="11"/>
      <c r="H263"/>
      <c r="I263"/>
    </row>
    <row r="264" spans="7:9" ht="16.2" x14ac:dyDescent="0.3">
      <c r="G264" s="11"/>
      <c r="H264"/>
      <c r="I264"/>
    </row>
    <row r="265" spans="7:9" ht="16.2" x14ac:dyDescent="0.3">
      <c r="G265" s="11"/>
      <c r="H265"/>
      <c r="I265"/>
    </row>
    <row r="266" spans="7:9" ht="16.2" x14ac:dyDescent="0.3">
      <c r="G266" s="11"/>
      <c r="H266"/>
      <c r="I266"/>
    </row>
    <row r="267" spans="7:9" ht="16.2" x14ac:dyDescent="0.3">
      <c r="G267" s="11"/>
      <c r="H267"/>
      <c r="I267"/>
    </row>
    <row r="268" spans="7:9" ht="16.2" x14ac:dyDescent="0.3">
      <c r="G268" s="11"/>
      <c r="H268"/>
      <c r="I268"/>
    </row>
    <row r="269" spans="7:9" ht="16.2" x14ac:dyDescent="0.3">
      <c r="G269" s="11"/>
      <c r="H269"/>
      <c r="I269"/>
    </row>
    <row r="270" spans="7:9" ht="16.2" x14ac:dyDescent="0.3">
      <c r="G270" s="11"/>
      <c r="H270"/>
      <c r="I270"/>
    </row>
    <row r="271" spans="7:9" ht="16.2" x14ac:dyDescent="0.3">
      <c r="G271" s="11"/>
      <c r="H271"/>
      <c r="I271"/>
    </row>
    <row r="272" spans="7:9" ht="16.2" x14ac:dyDescent="0.3">
      <c r="G272" s="11"/>
      <c r="H272"/>
      <c r="I272"/>
    </row>
    <row r="273" spans="7:9" ht="16.2" x14ac:dyDescent="0.3">
      <c r="G273" s="11"/>
      <c r="H273"/>
      <c r="I273"/>
    </row>
    <row r="274" spans="7:9" ht="16.2" x14ac:dyDescent="0.3">
      <c r="G274" s="11"/>
      <c r="H274"/>
      <c r="I274"/>
    </row>
    <row r="275" spans="7:9" ht="16.2" x14ac:dyDescent="0.3">
      <c r="G275" s="11"/>
      <c r="H275"/>
      <c r="I275"/>
    </row>
    <row r="276" spans="7:9" ht="16.2" x14ac:dyDescent="0.3">
      <c r="G276" s="11"/>
      <c r="H276"/>
      <c r="I276"/>
    </row>
    <row r="277" spans="7:9" ht="16.2" x14ac:dyDescent="0.3">
      <c r="G277" s="11"/>
      <c r="H277"/>
      <c r="I277"/>
    </row>
    <row r="278" spans="7:9" ht="16.2" x14ac:dyDescent="0.3">
      <c r="G278" s="11"/>
      <c r="H278"/>
      <c r="I278"/>
    </row>
    <row r="279" spans="7:9" ht="16.2" x14ac:dyDescent="0.3">
      <c r="G279" s="11"/>
      <c r="H279"/>
      <c r="I279"/>
    </row>
    <row r="280" spans="7:9" ht="16.2" x14ac:dyDescent="0.3">
      <c r="G280" s="11"/>
      <c r="H280"/>
      <c r="I280"/>
    </row>
    <row r="281" spans="7:9" ht="16.2" x14ac:dyDescent="0.3">
      <c r="G281" s="11"/>
      <c r="H281"/>
      <c r="I281"/>
    </row>
    <row r="282" spans="7:9" ht="16.2" x14ac:dyDescent="0.3">
      <c r="G282" s="11"/>
      <c r="H282"/>
      <c r="I282"/>
    </row>
    <row r="283" spans="7:9" ht="16.2" x14ac:dyDescent="0.3">
      <c r="G283" s="11"/>
      <c r="H283"/>
      <c r="I283"/>
    </row>
    <row r="284" spans="7:9" ht="16.2" x14ac:dyDescent="0.3">
      <c r="G284" s="11"/>
      <c r="H284"/>
      <c r="I284"/>
    </row>
    <row r="285" spans="7:9" ht="16.2" x14ac:dyDescent="0.3">
      <c r="G285" s="11"/>
      <c r="H285"/>
      <c r="I285"/>
    </row>
    <row r="286" spans="7:9" ht="16.2" x14ac:dyDescent="0.3">
      <c r="G286" s="11"/>
      <c r="H286"/>
      <c r="I286"/>
    </row>
    <row r="287" spans="7:9" ht="16.2" x14ac:dyDescent="0.3">
      <c r="G287" s="11"/>
      <c r="H287"/>
      <c r="I287"/>
    </row>
    <row r="288" spans="7:9" ht="16.2" x14ac:dyDescent="0.3">
      <c r="G288" s="11"/>
      <c r="H288"/>
      <c r="I288"/>
    </row>
    <row r="289" spans="8:9" ht="16.2" x14ac:dyDescent="0.3">
      <c r="H289"/>
      <c r="I289"/>
    </row>
    <row r="290" spans="8:9" ht="16.2" x14ac:dyDescent="0.3">
      <c r="H290"/>
      <c r="I290"/>
    </row>
    <row r="291" spans="8:9" ht="16.2" x14ac:dyDescent="0.3">
      <c r="H291"/>
      <c r="I291"/>
    </row>
    <row r="292" spans="8:9" ht="16.2" x14ac:dyDescent="0.3">
      <c r="H292"/>
      <c r="I292"/>
    </row>
    <row r="293" spans="8:9" ht="16.2" x14ac:dyDescent="0.3">
      <c r="H293"/>
      <c r="I293"/>
    </row>
    <row r="294" spans="8:9" ht="16.2" x14ac:dyDescent="0.3">
      <c r="H294"/>
      <c r="I294"/>
    </row>
    <row r="295" spans="8:9" ht="16.2" x14ac:dyDescent="0.3">
      <c r="H295"/>
      <c r="I295"/>
    </row>
    <row r="296" spans="8:9" ht="16.2" x14ac:dyDescent="0.3">
      <c r="H296"/>
      <c r="I296"/>
    </row>
    <row r="297" spans="8:9" ht="16.2" x14ac:dyDescent="0.3">
      <c r="H297"/>
      <c r="I297"/>
    </row>
    <row r="298" spans="8:9" ht="16.2" x14ac:dyDescent="0.3">
      <c r="H298"/>
      <c r="I298"/>
    </row>
    <row r="299" spans="8:9" ht="16.2" x14ac:dyDescent="0.3">
      <c r="H299"/>
      <c r="I299"/>
    </row>
    <row r="300" spans="8:9" ht="16.2" x14ac:dyDescent="0.3">
      <c r="H300"/>
      <c r="I300"/>
    </row>
    <row r="301" spans="8:9" ht="16.2" x14ac:dyDescent="0.3">
      <c r="H301"/>
      <c r="I301"/>
    </row>
    <row r="302" spans="8:9" ht="16.2" x14ac:dyDescent="0.3">
      <c r="H302"/>
      <c r="I302"/>
    </row>
    <row r="303" spans="8:9" ht="16.2" x14ac:dyDescent="0.3">
      <c r="H303"/>
      <c r="I303"/>
    </row>
    <row r="304" spans="8:9" ht="16.2" x14ac:dyDescent="0.3">
      <c r="H304"/>
      <c r="I304"/>
    </row>
    <row r="305" spans="8:9" ht="16.2" x14ac:dyDescent="0.3">
      <c r="H305"/>
      <c r="I305"/>
    </row>
    <row r="306" spans="8:9" ht="16.2" x14ac:dyDescent="0.3">
      <c r="H306"/>
      <c r="I306"/>
    </row>
    <row r="307" spans="8:9" ht="16.2" x14ac:dyDescent="0.3">
      <c r="H307"/>
      <c r="I307"/>
    </row>
    <row r="308" spans="8:9" ht="16.2" x14ac:dyDescent="0.3">
      <c r="H308"/>
      <c r="I308"/>
    </row>
    <row r="309" spans="8:9" ht="16.2" x14ac:dyDescent="0.3">
      <c r="H309"/>
      <c r="I309"/>
    </row>
    <row r="310" spans="8:9" ht="16.2" x14ac:dyDescent="0.3">
      <c r="H310"/>
      <c r="I310"/>
    </row>
    <row r="311" spans="8:9" ht="16.2" x14ac:dyDescent="0.3">
      <c r="H311"/>
      <c r="I311"/>
    </row>
    <row r="312" spans="8:9" ht="16.2" x14ac:dyDescent="0.3">
      <c r="H312"/>
      <c r="I312"/>
    </row>
    <row r="313" spans="8:9" ht="16.2" x14ac:dyDescent="0.3">
      <c r="H313"/>
      <c r="I313"/>
    </row>
    <row r="314" spans="8:9" ht="16.2" x14ac:dyDescent="0.3">
      <c r="H314"/>
      <c r="I314"/>
    </row>
    <row r="315" spans="8:9" ht="16.2" x14ac:dyDescent="0.3">
      <c r="H315"/>
      <c r="I315"/>
    </row>
    <row r="316" spans="8:9" ht="16.2" x14ac:dyDescent="0.3">
      <c r="H316"/>
      <c r="I316"/>
    </row>
    <row r="317" spans="8:9" ht="16.2" x14ac:dyDescent="0.3">
      <c r="H317"/>
      <c r="I317"/>
    </row>
    <row r="318" spans="8:9" ht="16.2" x14ac:dyDescent="0.3">
      <c r="H318"/>
      <c r="I318"/>
    </row>
    <row r="319" spans="8:9" ht="16.2" x14ac:dyDescent="0.3">
      <c r="H319"/>
      <c r="I319"/>
    </row>
    <row r="320" spans="8:9" ht="16.2" x14ac:dyDescent="0.3">
      <c r="H320"/>
      <c r="I320"/>
    </row>
    <row r="321" spans="8:9" ht="16.2" x14ac:dyDescent="0.3">
      <c r="H321"/>
      <c r="I321"/>
    </row>
    <row r="322" spans="8:9" ht="16.2" x14ac:dyDescent="0.3">
      <c r="H322"/>
      <c r="I322"/>
    </row>
    <row r="323" spans="8:9" ht="16.2" x14ac:dyDescent="0.3">
      <c r="H323"/>
      <c r="I323"/>
    </row>
    <row r="324" spans="8:9" ht="16.2" x14ac:dyDescent="0.3">
      <c r="H324"/>
      <c r="I324"/>
    </row>
    <row r="325" spans="8:9" ht="16.2" x14ac:dyDescent="0.3">
      <c r="H325"/>
      <c r="I325"/>
    </row>
    <row r="326" spans="8:9" ht="16.2" x14ac:dyDescent="0.3">
      <c r="H326"/>
      <c r="I326"/>
    </row>
    <row r="327" spans="8:9" ht="16.2" x14ac:dyDescent="0.3">
      <c r="H327"/>
      <c r="I327"/>
    </row>
    <row r="328" spans="8:9" ht="16.2" x14ac:dyDescent="0.3">
      <c r="H328"/>
      <c r="I328"/>
    </row>
    <row r="329" spans="8:9" ht="16.2" x14ac:dyDescent="0.3">
      <c r="H329"/>
      <c r="I329"/>
    </row>
    <row r="330" spans="8:9" ht="16.2" x14ac:dyDescent="0.3">
      <c r="H330"/>
      <c r="I330"/>
    </row>
    <row r="331" spans="8:9" ht="16.2" x14ac:dyDescent="0.3">
      <c r="H331"/>
      <c r="I331"/>
    </row>
    <row r="332" spans="8:9" ht="16.2" x14ac:dyDescent="0.3">
      <c r="H332"/>
      <c r="I332"/>
    </row>
    <row r="333" spans="8:9" ht="16.2" x14ac:dyDescent="0.3">
      <c r="H333"/>
      <c r="I333"/>
    </row>
    <row r="334" spans="8:9" ht="16.2" x14ac:dyDescent="0.3">
      <c r="H334"/>
      <c r="I334"/>
    </row>
    <row r="335" spans="8:9" ht="16.2" x14ac:dyDescent="0.3">
      <c r="H335"/>
      <c r="I335"/>
    </row>
    <row r="336" spans="8:9" ht="16.2" x14ac:dyDescent="0.3">
      <c r="H336"/>
      <c r="I336"/>
    </row>
    <row r="337" spans="8:9" ht="16.2" x14ac:dyDescent="0.3">
      <c r="H337"/>
      <c r="I337"/>
    </row>
    <row r="338" spans="8:9" ht="16.2" x14ac:dyDescent="0.3">
      <c r="H338"/>
      <c r="I338"/>
    </row>
    <row r="339" spans="8:9" ht="16.2" x14ac:dyDescent="0.3">
      <c r="H339"/>
      <c r="I339"/>
    </row>
    <row r="340" spans="8:9" ht="16.2" x14ac:dyDescent="0.3">
      <c r="H340"/>
      <c r="I340"/>
    </row>
    <row r="341" spans="8:9" ht="16.2" x14ac:dyDescent="0.3">
      <c r="H341"/>
      <c r="I341"/>
    </row>
    <row r="342" spans="8:9" ht="16.2" x14ac:dyDescent="0.3">
      <c r="H342"/>
      <c r="I342"/>
    </row>
    <row r="343" spans="8:9" ht="16.2" x14ac:dyDescent="0.3">
      <c r="H343"/>
      <c r="I343"/>
    </row>
    <row r="344" spans="8:9" ht="16.2" x14ac:dyDescent="0.3">
      <c r="H344"/>
      <c r="I344"/>
    </row>
    <row r="345" spans="8:9" ht="16.2" x14ac:dyDescent="0.3">
      <c r="H345"/>
      <c r="I345"/>
    </row>
    <row r="346" spans="8:9" ht="16.2" x14ac:dyDescent="0.3">
      <c r="H346"/>
      <c r="I346"/>
    </row>
    <row r="347" spans="8:9" ht="16.2" x14ac:dyDescent="0.3">
      <c r="H347"/>
      <c r="I347"/>
    </row>
    <row r="348" spans="8:9" ht="16.2" x14ac:dyDescent="0.3">
      <c r="H348"/>
      <c r="I348"/>
    </row>
    <row r="349" spans="8:9" ht="16.2" x14ac:dyDescent="0.3">
      <c r="H349"/>
      <c r="I349"/>
    </row>
    <row r="350" spans="8:9" ht="16.2" x14ac:dyDescent="0.3">
      <c r="H350"/>
      <c r="I350"/>
    </row>
    <row r="351" spans="8:9" ht="16.2" x14ac:dyDescent="0.3">
      <c r="H351"/>
      <c r="I351"/>
    </row>
    <row r="352" spans="8:9" ht="16.2" x14ac:dyDescent="0.3">
      <c r="H352"/>
      <c r="I352"/>
    </row>
    <row r="353" spans="8:9" ht="16.2" x14ac:dyDescent="0.3">
      <c r="H353"/>
      <c r="I353"/>
    </row>
    <row r="354" spans="8:9" ht="16.2" x14ac:dyDescent="0.3">
      <c r="H354"/>
      <c r="I354"/>
    </row>
    <row r="355" spans="8:9" ht="16.2" x14ac:dyDescent="0.3">
      <c r="H355"/>
      <c r="I355"/>
    </row>
    <row r="356" spans="8:9" ht="16.2" x14ac:dyDescent="0.3">
      <c r="H356"/>
      <c r="I356"/>
    </row>
    <row r="357" spans="8:9" ht="16.2" x14ac:dyDescent="0.3">
      <c r="H357"/>
      <c r="I357"/>
    </row>
    <row r="358" spans="8:9" ht="16.2" x14ac:dyDescent="0.3">
      <c r="H358"/>
      <c r="I358"/>
    </row>
    <row r="359" spans="8:9" ht="16.2" x14ac:dyDescent="0.3">
      <c r="H359"/>
      <c r="I359"/>
    </row>
    <row r="360" spans="8:9" ht="16.2" x14ac:dyDescent="0.3">
      <c r="H360"/>
      <c r="I360"/>
    </row>
    <row r="361" spans="8:9" ht="16.2" x14ac:dyDescent="0.3">
      <c r="H361"/>
      <c r="I361"/>
    </row>
    <row r="362" spans="8:9" ht="16.2" x14ac:dyDescent="0.3">
      <c r="H362"/>
      <c r="I362"/>
    </row>
    <row r="363" spans="8:9" ht="16.2" x14ac:dyDescent="0.3">
      <c r="H363"/>
      <c r="I363"/>
    </row>
    <row r="364" spans="8:9" ht="16.2" x14ac:dyDescent="0.3">
      <c r="H364"/>
      <c r="I364"/>
    </row>
    <row r="365" spans="8:9" ht="16.2" x14ac:dyDescent="0.3">
      <c r="H365"/>
      <c r="I365"/>
    </row>
    <row r="366" spans="8:9" ht="16.2" x14ac:dyDescent="0.3">
      <c r="H366"/>
      <c r="I366"/>
    </row>
    <row r="367" spans="8:9" ht="16.2" x14ac:dyDescent="0.3">
      <c r="H367"/>
      <c r="I367"/>
    </row>
    <row r="368" spans="8:9" ht="16.2" x14ac:dyDescent="0.3">
      <c r="H368"/>
      <c r="I368"/>
    </row>
    <row r="369" spans="8:9" ht="16.2" x14ac:dyDescent="0.3">
      <c r="H369"/>
      <c r="I369"/>
    </row>
    <row r="370" spans="8:9" ht="16.2" x14ac:dyDescent="0.3">
      <c r="H370"/>
      <c r="I370"/>
    </row>
    <row r="371" spans="8:9" ht="16.2" x14ac:dyDescent="0.3">
      <c r="H371"/>
      <c r="I371"/>
    </row>
    <row r="372" spans="8:9" ht="16.2" x14ac:dyDescent="0.3">
      <c r="H372"/>
      <c r="I372"/>
    </row>
    <row r="373" spans="8:9" ht="16.2" x14ac:dyDescent="0.3">
      <c r="H373"/>
      <c r="I373"/>
    </row>
    <row r="374" spans="8:9" ht="16.2" x14ac:dyDescent="0.3">
      <c r="H374"/>
      <c r="I374"/>
    </row>
    <row r="375" spans="8:9" ht="16.2" x14ac:dyDescent="0.3">
      <c r="H375"/>
      <c r="I375"/>
    </row>
    <row r="376" spans="8:9" ht="16.2" x14ac:dyDescent="0.3">
      <c r="H376"/>
      <c r="I376"/>
    </row>
    <row r="377" spans="8:9" ht="16.2" x14ac:dyDescent="0.3">
      <c r="H377"/>
      <c r="I377"/>
    </row>
    <row r="378" spans="8:9" ht="16.2" x14ac:dyDescent="0.3">
      <c r="H378"/>
      <c r="I378"/>
    </row>
    <row r="379" spans="8:9" ht="16.2" x14ac:dyDescent="0.3">
      <c r="H379"/>
      <c r="I379"/>
    </row>
    <row r="380" spans="8:9" ht="16.2" x14ac:dyDescent="0.3">
      <c r="H380"/>
      <c r="I380"/>
    </row>
    <row r="381" spans="8:9" ht="16.2" x14ac:dyDescent="0.3">
      <c r="H381"/>
      <c r="I381"/>
    </row>
    <row r="382" spans="8:9" ht="16.2" x14ac:dyDescent="0.3">
      <c r="H382"/>
      <c r="I382"/>
    </row>
    <row r="383" spans="8:9" ht="16.2" x14ac:dyDescent="0.3">
      <c r="H383"/>
      <c r="I383"/>
    </row>
    <row r="384" spans="8:9" ht="16.2" x14ac:dyDescent="0.3">
      <c r="H384"/>
      <c r="I384"/>
    </row>
    <row r="385" spans="8:9" ht="16.2" x14ac:dyDescent="0.3">
      <c r="H385"/>
      <c r="I385"/>
    </row>
    <row r="386" spans="8:9" ht="16.2" x14ac:dyDescent="0.3">
      <c r="H386"/>
      <c r="I386"/>
    </row>
    <row r="387" spans="8:9" ht="16.2" x14ac:dyDescent="0.3">
      <c r="H387"/>
      <c r="I387"/>
    </row>
    <row r="388" spans="8:9" ht="16.2" x14ac:dyDescent="0.3">
      <c r="H388"/>
      <c r="I388"/>
    </row>
    <row r="389" spans="8:9" ht="16.2" x14ac:dyDescent="0.3">
      <c r="H389"/>
      <c r="I389"/>
    </row>
    <row r="390" spans="8:9" ht="16.2" x14ac:dyDescent="0.3">
      <c r="H390"/>
      <c r="I390"/>
    </row>
    <row r="391" spans="8:9" ht="16.2" x14ac:dyDescent="0.3">
      <c r="H391"/>
      <c r="I391"/>
    </row>
    <row r="392" spans="8:9" ht="16.2" x14ac:dyDescent="0.3">
      <c r="H392"/>
      <c r="I392"/>
    </row>
    <row r="393" spans="8:9" ht="16.2" x14ac:dyDescent="0.3">
      <c r="H393"/>
      <c r="I393"/>
    </row>
    <row r="394" spans="8:9" ht="16.2" x14ac:dyDescent="0.3">
      <c r="H394"/>
      <c r="I394"/>
    </row>
    <row r="395" spans="8:9" ht="16.2" x14ac:dyDescent="0.3">
      <c r="H395"/>
      <c r="I395"/>
    </row>
    <row r="396" spans="8:9" ht="16.2" x14ac:dyDescent="0.3">
      <c r="H396"/>
      <c r="I396"/>
    </row>
    <row r="397" spans="8:9" ht="16.2" x14ac:dyDescent="0.3">
      <c r="H397"/>
      <c r="I397"/>
    </row>
    <row r="398" spans="8:9" ht="16.2" x14ac:dyDescent="0.3">
      <c r="H398"/>
      <c r="I398"/>
    </row>
    <row r="399" spans="8:9" ht="16.2" x14ac:dyDescent="0.3">
      <c r="H399"/>
      <c r="I399"/>
    </row>
    <row r="400" spans="8:9" ht="16.2" x14ac:dyDescent="0.3">
      <c r="H400"/>
      <c r="I400"/>
    </row>
    <row r="401" spans="8:9" ht="16.2" x14ac:dyDescent="0.3">
      <c r="H401"/>
      <c r="I401"/>
    </row>
    <row r="402" spans="8:9" ht="16.2" x14ac:dyDescent="0.3">
      <c r="H402"/>
      <c r="I402"/>
    </row>
    <row r="403" spans="8:9" ht="16.2" x14ac:dyDescent="0.3">
      <c r="H403"/>
      <c r="I403"/>
    </row>
    <row r="404" spans="8:9" ht="16.2" x14ac:dyDescent="0.3">
      <c r="H404"/>
      <c r="I404"/>
    </row>
    <row r="405" spans="8:9" ht="16.2" x14ac:dyDescent="0.3">
      <c r="H405"/>
      <c r="I405"/>
    </row>
    <row r="406" spans="8:9" ht="16.2" x14ac:dyDescent="0.3">
      <c r="H406"/>
      <c r="I406"/>
    </row>
    <row r="407" spans="8:9" ht="16.2" x14ac:dyDescent="0.3">
      <c r="H407"/>
      <c r="I407"/>
    </row>
    <row r="408" spans="8:9" ht="16.2" x14ac:dyDescent="0.3">
      <c r="H408"/>
      <c r="I408"/>
    </row>
    <row r="409" spans="8:9" ht="16.2" x14ac:dyDescent="0.3">
      <c r="H409"/>
      <c r="I409"/>
    </row>
    <row r="410" spans="8:9" ht="16.2" x14ac:dyDescent="0.3">
      <c r="H410"/>
      <c r="I410"/>
    </row>
    <row r="411" spans="8:9" ht="16.2" x14ac:dyDescent="0.3">
      <c r="H411"/>
      <c r="I411"/>
    </row>
    <row r="412" spans="8:9" ht="16.2" x14ac:dyDescent="0.3">
      <c r="H412"/>
      <c r="I412"/>
    </row>
    <row r="413" spans="8:9" ht="16.2" x14ac:dyDescent="0.3">
      <c r="H413"/>
      <c r="I413"/>
    </row>
    <row r="414" spans="8:9" ht="16.2" x14ac:dyDescent="0.3">
      <c r="H414"/>
      <c r="I414"/>
    </row>
    <row r="415" spans="8:9" ht="16.2" x14ac:dyDescent="0.3">
      <c r="H415"/>
      <c r="I415"/>
    </row>
    <row r="416" spans="8:9" ht="16.2" x14ac:dyDescent="0.3">
      <c r="H416"/>
      <c r="I416"/>
    </row>
    <row r="417" spans="8:9" ht="16.2" x14ac:dyDescent="0.3">
      <c r="H417"/>
      <c r="I417"/>
    </row>
    <row r="418" spans="8:9" ht="16.2" x14ac:dyDescent="0.3">
      <c r="H418"/>
      <c r="I418"/>
    </row>
    <row r="419" spans="8:9" ht="16.2" x14ac:dyDescent="0.3">
      <c r="H419"/>
      <c r="I419"/>
    </row>
    <row r="420" spans="8:9" ht="16.2" x14ac:dyDescent="0.3">
      <c r="H420"/>
      <c r="I420"/>
    </row>
    <row r="421" spans="8:9" ht="16.2" x14ac:dyDescent="0.3">
      <c r="H421"/>
      <c r="I421"/>
    </row>
    <row r="422" spans="8:9" ht="16.2" x14ac:dyDescent="0.3">
      <c r="H422"/>
      <c r="I422"/>
    </row>
    <row r="423" spans="8:9" ht="16.2" x14ac:dyDescent="0.3">
      <c r="H423"/>
      <c r="I423"/>
    </row>
    <row r="424" spans="8:9" ht="16.2" x14ac:dyDescent="0.3">
      <c r="H424"/>
      <c r="I424"/>
    </row>
    <row r="425" spans="8:9" ht="16.2" x14ac:dyDescent="0.3">
      <c r="H425"/>
      <c r="I425"/>
    </row>
    <row r="426" spans="8:9" ht="16.2" x14ac:dyDescent="0.3">
      <c r="H426"/>
      <c r="I426"/>
    </row>
    <row r="427" spans="8:9" ht="16.2" x14ac:dyDescent="0.3">
      <c r="H427"/>
      <c r="I427"/>
    </row>
    <row r="428" spans="8:9" ht="16.2" x14ac:dyDescent="0.3">
      <c r="H428"/>
      <c r="I428"/>
    </row>
    <row r="429" spans="8:9" ht="16.2" x14ac:dyDescent="0.3">
      <c r="H429"/>
      <c r="I429"/>
    </row>
    <row r="430" spans="8:9" ht="16.2" x14ac:dyDescent="0.3">
      <c r="H430"/>
      <c r="I430"/>
    </row>
    <row r="431" spans="8:9" ht="16.2" x14ac:dyDescent="0.3">
      <c r="H431"/>
      <c r="I431"/>
    </row>
    <row r="432" spans="8:9" ht="16.2" x14ac:dyDescent="0.3">
      <c r="H432"/>
      <c r="I432"/>
    </row>
    <row r="433" spans="8:9" ht="16.2" x14ac:dyDescent="0.3">
      <c r="H433"/>
      <c r="I433"/>
    </row>
    <row r="434" spans="8:9" ht="16.2" x14ac:dyDescent="0.3">
      <c r="H434"/>
      <c r="I434"/>
    </row>
    <row r="435" spans="8:9" ht="16.2" x14ac:dyDescent="0.3">
      <c r="H435"/>
      <c r="I435"/>
    </row>
    <row r="436" spans="8:9" ht="16.2" x14ac:dyDescent="0.3">
      <c r="H436"/>
      <c r="I436"/>
    </row>
    <row r="437" spans="8:9" ht="16.2" x14ac:dyDescent="0.3">
      <c r="H437"/>
      <c r="I437"/>
    </row>
    <row r="438" spans="8:9" ht="16.2" x14ac:dyDescent="0.3">
      <c r="H438"/>
      <c r="I438"/>
    </row>
    <row r="439" spans="8:9" ht="16.2" x14ac:dyDescent="0.3">
      <c r="H439"/>
      <c r="I439"/>
    </row>
    <row r="440" spans="8:9" ht="16.2" x14ac:dyDescent="0.3">
      <c r="H440"/>
      <c r="I440"/>
    </row>
    <row r="441" spans="8:9" ht="16.2" x14ac:dyDescent="0.3">
      <c r="H441"/>
      <c r="I441"/>
    </row>
    <row r="442" spans="8:9" ht="16.2" x14ac:dyDescent="0.3">
      <c r="H442"/>
      <c r="I442"/>
    </row>
    <row r="443" spans="8:9" ht="16.2" x14ac:dyDescent="0.3">
      <c r="H443"/>
      <c r="I443"/>
    </row>
    <row r="444" spans="8:9" ht="16.2" x14ac:dyDescent="0.3">
      <c r="H444"/>
      <c r="I444"/>
    </row>
    <row r="445" spans="8:9" ht="16.2" x14ac:dyDescent="0.3">
      <c r="H445"/>
      <c r="I445"/>
    </row>
    <row r="446" spans="8:9" ht="16.2" x14ac:dyDescent="0.3">
      <c r="H446"/>
      <c r="I446"/>
    </row>
    <row r="447" spans="8:9" ht="16.2" x14ac:dyDescent="0.3">
      <c r="H447"/>
      <c r="I447"/>
    </row>
    <row r="448" spans="8:9" ht="16.2" x14ac:dyDescent="0.3">
      <c r="H448"/>
      <c r="I448"/>
    </row>
    <row r="449" spans="8:9" ht="16.2" x14ac:dyDescent="0.3">
      <c r="H449"/>
      <c r="I449"/>
    </row>
    <row r="450" spans="8:9" ht="16.2" x14ac:dyDescent="0.3">
      <c r="H450"/>
      <c r="I450"/>
    </row>
    <row r="451" spans="8:9" ht="16.2" x14ac:dyDescent="0.3">
      <c r="H451"/>
      <c r="I451"/>
    </row>
    <row r="452" spans="8:9" ht="16.2" x14ac:dyDescent="0.3">
      <c r="H452"/>
      <c r="I452"/>
    </row>
    <row r="453" spans="8:9" ht="16.2" x14ac:dyDescent="0.3">
      <c r="H453"/>
      <c r="I453"/>
    </row>
    <row r="454" spans="8:9" ht="16.2" x14ac:dyDescent="0.3">
      <c r="H454"/>
      <c r="I454"/>
    </row>
    <row r="455" spans="8:9" ht="16.2" x14ac:dyDescent="0.3">
      <c r="H455"/>
      <c r="I455"/>
    </row>
    <row r="456" spans="8:9" ht="16.2" x14ac:dyDescent="0.3">
      <c r="H456"/>
      <c r="I456"/>
    </row>
    <row r="457" spans="8:9" ht="16.2" x14ac:dyDescent="0.3">
      <c r="H457"/>
      <c r="I457"/>
    </row>
    <row r="458" spans="8:9" ht="16.2" x14ac:dyDescent="0.3">
      <c r="H458"/>
      <c r="I458"/>
    </row>
    <row r="459" spans="8:9" ht="16.2" x14ac:dyDescent="0.3">
      <c r="H459"/>
      <c r="I459"/>
    </row>
    <row r="460" spans="8:9" ht="16.2" x14ac:dyDescent="0.3">
      <c r="H460"/>
      <c r="I460"/>
    </row>
    <row r="461" spans="8:9" ht="16.2" x14ac:dyDescent="0.3">
      <c r="H461"/>
      <c r="I461"/>
    </row>
    <row r="462" spans="8:9" ht="16.2" x14ac:dyDescent="0.3">
      <c r="H462"/>
      <c r="I462"/>
    </row>
    <row r="463" spans="8:9" ht="16.2" x14ac:dyDescent="0.3">
      <c r="H463"/>
      <c r="I463"/>
    </row>
    <row r="464" spans="8:9" ht="16.2" x14ac:dyDescent="0.3">
      <c r="H464"/>
      <c r="I464"/>
    </row>
    <row r="465" spans="8:9" ht="16.2" x14ac:dyDescent="0.3">
      <c r="H465"/>
      <c r="I465"/>
    </row>
    <row r="466" spans="8:9" ht="16.2" x14ac:dyDescent="0.3">
      <c r="H466"/>
      <c r="I466"/>
    </row>
    <row r="467" spans="8:9" ht="16.2" x14ac:dyDescent="0.3">
      <c r="H467"/>
      <c r="I467"/>
    </row>
    <row r="468" spans="8:9" ht="16.2" x14ac:dyDescent="0.3">
      <c r="H468"/>
      <c r="I468"/>
    </row>
    <row r="469" spans="8:9" ht="16.2" x14ac:dyDescent="0.3">
      <c r="H469"/>
      <c r="I469"/>
    </row>
    <row r="470" spans="8:9" ht="16.2" x14ac:dyDescent="0.3">
      <c r="H470"/>
      <c r="I470"/>
    </row>
    <row r="471" spans="8:9" ht="16.2" x14ac:dyDescent="0.3">
      <c r="H471"/>
      <c r="I471"/>
    </row>
    <row r="472" spans="8:9" ht="16.2" x14ac:dyDescent="0.3">
      <c r="H472"/>
      <c r="I472"/>
    </row>
    <row r="473" spans="8:9" ht="16.2" x14ac:dyDescent="0.3">
      <c r="H473"/>
      <c r="I473"/>
    </row>
    <row r="474" spans="8:9" ht="16.2" x14ac:dyDescent="0.3">
      <c r="H474"/>
      <c r="I474"/>
    </row>
    <row r="475" spans="8:9" ht="16.2" x14ac:dyDescent="0.3">
      <c r="H475"/>
      <c r="I475"/>
    </row>
    <row r="476" spans="8:9" ht="16.2" x14ac:dyDescent="0.3">
      <c r="H476"/>
      <c r="I476"/>
    </row>
    <row r="477" spans="8:9" ht="16.2" x14ac:dyDescent="0.3">
      <c r="H477"/>
      <c r="I477"/>
    </row>
    <row r="478" spans="8:9" ht="16.2" x14ac:dyDescent="0.3">
      <c r="H478"/>
      <c r="I478"/>
    </row>
    <row r="479" spans="8:9" ht="16.2" x14ac:dyDescent="0.3">
      <c r="H479"/>
      <c r="I479"/>
    </row>
    <row r="480" spans="8:9" ht="16.2" x14ac:dyDescent="0.3">
      <c r="H480"/>
      <c r="I480"/>
    </row>
    <row r="481" spans="8:9" ht="16.2" x14ac:dyDescent="0.3">
      <c r="H481"/>
      <c r="I481"/>
    </row>
    <row r="482" spans="8:9" ht="16.2" x14ac:dyDescent="0.3">
      <c r="H482"/>
      <c r="I482"/>
    </row>
    <row r="483" spans="8:9" ht="16.2" x14ac:dyDescent="0.3">
      <c r="H483"/>
      <c r="I483"/>
    </row>
    <row r="484" spans="8:9" ht="16.2" x14ac:dyDescent="0.3">
      <c r="H484"/>
      <c r="I484"/>
    </row>
    <row r="485" spans="8:9" ht="16.2" x14ac:dyDescent="0.3">
      <c r="H485"/>
      <c r="I485"/>
    </row>
    <row r="486" spans="8:9" ht="16.2" x14ac:dyDescent="0.3">
      <c r="H486"/>
      <c r="I486"/>
    </row>
    <row r="487" spans="8:9" ht="16.2" x14ac:dyDescent="0.3">
      <c r="H487"/>
      <c r="I487"/>
    </row>
    <row r="488" spans="8:9" ht="16.2" x14ac:dyDescent="0.3">
      <c r="H488"/>
      <c r="I488"/>
    </row>
    <row r="489" spans="8:9" ht="16.2" x14ac:dyDescent="0.3">
      <c r="H489"/>
      <c r="I489"/>
    </row>
    <row r="490" spans="8:9" ht="16.2" x14ac:dyDescent="0.3">
      <c r="H490"/>
      <c r="I490"/>
    </row>
    <row r="491" spans="8:9" ht="16.2" x14ac:dyDescent="0.3">
      <c r="H491"/>
      <c r="I491"/>
    </row>
    <row r="492" spans="8:9" ht="16.2" x14ac:dyDescent="0.3">
      <c r="H492"/>
      <c r="I492"/>
    </row>
    <row r="493" spans="8:9" ht="16.2" x14ac:dyDescent="0.3">
      <c r="H493"/>
      <c r="I493"/>
    </row>
    <row r="494" spans="8:9" ht="16.2" x14ac:dyDescent="0.3">
      <c r="H494"/>
      <c r="I494"/>
    </row>
    <row r="495" spans="8:9" ht="16.2" x14ac:dyDescent="0.3">
      <c r="H495"/>
      <c r="I495"/>
    </row>
    <row r="496" spans="8:9" ht="16.2" x14ac:dyDescent="0.3">
      <c r="H496"/>
      <c r="I496"/>
    </row>
    <row r="497" spans="8:9" ht="16.2" x14ac:dyDescent="0.3">
      <c r="H497"/>
      <c r="I497"/>
    </row>
    <row r="498" spans="8:9" ht="16.2" x14ac:dyDescent="0.3">
      <c r="H498"/>
      <c r="I498"/>
    </row>
    <row r="499" spans="8:9" ht="16.2" x14ac:dyDescent="0.3">
      <c r="H499"/>
      <c r="I499"/>
    </row>
    <row r="500" spans="8:9" ht="16.2" x14ac:dyDescent="0.3">
      <c r="H500"/>
      <c r="I500"/>
    </row>
    <row r="501" spans="8:9" ht="16.2" x14ac:dyDescent="0.3">
      <c r="H501"/>
      <c r="I501"/>
    </row>
    <row r="502" spans="8:9" ht="16.2" x14ac:dyDescent="0.3">
      <c r="H502"/>
      <c r="I502"/>
    </row>
    <row r="503" spans="8:9" ht="16.2" x14ac:dyDescent="0.3">
      <c r="H503"/>
      <c r="I503"/>
    </row>
    <row r="504" spans="8:9" ht="16.2" x14ac:dyDescent="0.3">
      <c r="H504"/>
      <c r="I504"/>
    </row>
    <row r="505" spans="8:9" ht="16.2" x14ac:dyDescent="0.3">
      <c r="H505"/>
      <c r="I505"/>
    </row>
    <row r="506" spans="8:9" ht="16.2" x14ac:dyDescent="0.3">
      <c r="H506"/>
      <c r="I506"/>
    </row>
    <row r="507" spans="8:9" ht="16.2" x14ac:dyDescent="0.3">
      <c r="H507"/>
      <c r="I507"/>
    </row>
    <row r="508" spans="8:9" ht="16.2" x14ac:dyDescent="0.3">
      <c r="H508"/>
      <c r="I508"/>
    </row>
    <row r="509" spans="8:9" ht="16.2" x14ac:dyDescent="0.3">
      <c r="H509"/>
      <c r="I509"/>
    </row>
    <row r="510" spans="8:9" ht="16.2" x14ac:dyDescent="0.3">
      <c r="H510"/>
      <c r="I510"/>
    </row>
    <row r="511" spans="8:9" ht="16.2" x14ac:dyDescent="0.3">
      <c r="H511"/>
      <c r="I511"/>
    </row>
    <row r="512" spans="8:9" ht="16.2" x14ac:dyDescent="0.3">
      <c r="H512"/>
      <c r="I512"/>
    </row>
    <row r="513" spans="8:9" ht="16.2" x14ac:dyDescent="0.3">
      <c r="H513"/>
      <c r="I513"/>
    </row>
    <row r="514" spans="8:9" ht="16.2" x14ac:dyDescent="0.3">
      <c r="H514"/>
      <c r="I514"/>
    </row>
    <row r="515" spans="8:9" ht="16.2" x14ac:dyDescent="0.3">
      <c r="H515"/>
      <c r="I515"/>
    </row>
    <row r="516" spans="8:9" ht="16.2" x14ac:dyDescent="0.3">
      <c r="H516"/>
      <c r="I516"/>
    </row>
    <row r="517" spans="8:9" ht="16.2" x14ac:dyDescent="0.3">
      <c r="H517"/>
      <c r="I517"/>
    </row>
    <row r="518" spans="8:9" ht="16.2" x14ac:dyDescent="0.3">
      <c r="H518"/>
      <c r="I518"/>
    </row>
    <row r="519" spans="8:9" ht="16.2" x14ac:dyDescent="0.3">
      <c r="H519"/>
      <c r="I519"/>
    </row>
    <row r="520" spans="8:9" ht="16.2" x14ac:dyDescent="0.3">
      <c r="H520"/>
      <c r="I520"/>
    </row>
    <row r="521" spans="8:9" ht="16.2" x14ac:dyDescent="0.3">
      <c r="H521"/>
      <c r="I521"/>
    </row>
    <row r="522" spans="8:9" ht="16.2" x14ac:dyDescent="0.3">
      <c r="H522"/>
      <c r="I522"/>
    </row>
    <row r="523" spans="8:9" ht="16.2" x14ac:dyDescent="0.3">
      <c r="H523"/>
      <c r="I523"/>
    </row>
    <row r="524" spans="8:9" ht="16.2" x14ac:dyDescent="0.3">
      <c r="H524"/>
      <c r="I524"/>
    </row>
    <row r="525" spans="8:9" ht="16.2" x14ac:dyDescent="0.3">
      <c r="H525"/>
      <c r="I525"/>
    </row>
    <row r="526" spans="8:9" ht="16.2" x14ac:dyDescent="0.3">
      <c r="H526"/>
      <c r="I526"/>
    </row>
    <row r="527" spans="8:9" ht="16.2" x14ac:dyDescent="0.3">
      <c r="H527"/>
      <c r="I527"/>
    </row>
    <row r="528" spans="8:9" ht="16.2" x14ac:dyDescent="0.3">
      <c r="H528"/>
      <c r="I528"/>
    </row>
    <row r="529" spans="8:9" ht="16.2" x14ac:dyDescent="0.3">
      <c r="H529"/>
      <c r="I529"/>
    </row>
    <row r="530" spans="8:9" ht="16.2" x14ac:dyDescent="0.3">
      <c r="H530"/>
      <c r="I530"/>
    </row>
    <row r="531" spans="8:9" ht="16.2" x14ac:dyDescent="0.3">
      <c r="H531"/>
      <c r="I531"/>
    </row>
    <row r="532" spans="8:9" ht="16.2" x14ac:dyDescent="0.3">
      <c r="H532"/>
      <c r="I532"/>
    </row>
    <row r="533" spans="8:9" ht="16.2" x14ac:dyDescent="0.3">
      <c r="H533"/>
      <c r="I533"/>
    </row>
    <row r="534" spans="8:9" ht="16.2" x14ac:dyDescent="0.3">
      <c r="H534"/>
      <c r="I534"/>
    </row>
    <row r="535" spans="8:9" ht="16.2" x14ac:dyDescent="0.3">
      <c r="H535"/>
      <c r="I535"/>
    </row>
    <row r="536" spans="8:9" ht="16.2" x14ac:dyDescent="0.3">
      <c r="H536"/>
      <c r="I536"/>
    </row>
    <row r="537" spans="8:9" ht="16.2" x14ac:dyDescent="0.3">
      <c r="H537"/>
      <c r="I537"/>
    </row>
    <row r="538" spans="8:9" ht="16.2" x14ac:dyDescent="0.3">
      <c r="H538"/>
      <c r="I538"/>
    </row>
    <row r="539" spans="8:9" ht="16.2" x14ac:dyDescent="0.3">
      <c r="H539"/>
      <c r="I539"/>
    </row>
    <row r="540" spans="8:9" ht="16.2" x14ac:dyDescent="0.3">
      <c r="H540"/>
      <c r="I540"/>
    </row>
    <row r="541" spans="8:9" ht="16.2" x14ac:dyDescent="0.3">
      <c r="H541"/>
      <c r="I541"/>
    </row>
    <row r="542" spans="8:9" ht="16.2" x14ac:dyDescent="0.3">
      <c r="H542"/>
      <c r="I542"/>
    </row>
    <row r="543" spans="8:9" ht="16.2" x14ac:dyDescent="0.3">
      <c r="H543"/>
      <c r="I543"/>
    </row>
    <row r="544" spans="8:9" ht="16.2" x14ac:dyDescent="0.3">
      <c r="H544"/>
      <c r="I544"/>
    </row>
    <row r="545" spans="8:9" ht="16.2" x14ac:dyDescent="0.3">
      <c r="H545"/>
      <c r="I545"/>
    </row>
    <row r="546" spans="8:9" ht="16.2" x14ac:dyDescent="0.3">
      <c r="H546"/>
      <c r="I546"/>
    </row>
    <row r="547" spans="8:9" ht="16.2" x14ac:dyDescent="0.3">
      <c r="H547"/>
      <c r="I547"/>
    </row>
    <row r="548" spans="8:9" ht="16.2" x14ac:dyDescent="0.3">
      <c r="H548"/>
      <c r="I548"/>
    </row>
    <row r="549" spans="8:9" ht="16.2" x14ac:dyDescent="0.3">
      <c r="H549"/>
      <c r="I549"/>
    </row>
    <row r="550" spans="8:9" ht="16.2" x14ac:dyDescent="0.3">
      <c r="H550"/>
      <c r="I550"/>
    </row>
    <row r="551" spans="8:9" ht="16.2" x14ac:dyDescent="0.3">
      <c r="H551"/>
      <c r="I551"/>
    </row>
    <row r="552" spans="8:9" ht="16.2" x14ac:dyDescent="0.3">
      <c r="H552"/>
      <c r="I552"/>
    </row>
    <row r="553" spans="8:9" ht="16.2" x14ac:dyDescent="0.3">
      <c r="H553"/>
      <c r="I553"/>
    </row>
    <row r="554" spans="8:9" ht="16.2" x14ac:dyDescent="0.3">
      <c r="H554"/>
      <c r="I554"/>
    </row>
    <row r="555" spans="8:9" ht="16.2" x14ac:dyDescent="0.3">
      <c r="H555"/>
      <c r="I555"/>
    </row>
    <row r="556" spans="8:9" ht="16.2" x14ac:dyDescent="0.3">
      <c r="H556"/>
      <c r="I556"/>
    </row>
    <row r="557" spans="8:9" ht="16.2" x14ac:dyDescent="0.3">
      <c r="H557"/>
      <c r="I557"/>
    </row>
    <row r="558" spans="8:9" ht="16.2" x14ac:dyDescent="0.3">
      <c r="H558"/>
      <c r="I558"/>
    </row>
    <row r="559" spans="8:9" ht="16.2" x14ac:dyDescent="0.3">
      <c r="H559"/>
      <c r="I559"/>
    </row>
    <row r="560" spans="8:9" ht="16.2" x14ac:dyDescent="0.3">
      <c r="H560"/>
      <c r="I560"/>
    </row>
    <row r="561" spans="8:9" ht="16.2" x14ac:dyDescent="0.3">
      <c r="H561"/>
      <c r="I561"/>
    </row>
    <row r="562" spans="8:9" ht="16.2" x14ac:dyDescent="0.3">
      <c r="H562"/>
      <c r="I562"/>
    </row>
    <row r="563" spans="8:9" ht="16.2" x14ac:dyDescent="0.3">
      <c r="H563"/>
      <c r="I563"/>
    </row>
    <row r="564" spans="8:9" ht="16.2" x14ac:dyDescent="0.3">
      <c r="H564"/>
      <c r="I564"/>
    </row>
    <row r="565" spans="8:9" ht="16.2" x14ac:dyDescent="0.3">
      <c r="H565"/>
      <c r="I565"/>
    </row>
    <row r="566" spans="8:9" ht="16.2" x14ac:dyDescent="0.3">
      <c r="H566"/>
      <c r="I566"/>
    </row>
    <row r="567" spans="8:9" ht="16.2" x14ac:dyDescent="0.3">
      <c r="H567"/>
      <c r="I567"/>
    </row>
    <row r="568" spans="8:9" ht="16.2" x14ac:dyDescent="0.3">
      <c r="H568"/>
      <c r="I568"/>
    </row>
    <row r="569" spans="8:9" ht="16.2" x14ac:dyDescent="0.3">
      <c r="H569"/>
      <c r="I569"/>
    </row>
    <row r="570" spans="8:9" ht="16.2" x14ac:dyDescent="0.3">
      <c r="H570"/>
      <c r="I570"/>
    </row>
    <row r="571" spans="8:9" ht="16.2" x14ac:dyDescent="0.3">
      <c r="H571"/>
      <c r="I571"/>
    </row>
    <row r="572" spans="8:9" ht="16.2" x14ac:dyDescent="0.3">
      <c r="H572"/>
      <c r="I572"/>
    </row>
    <row r="573" spans="8:9" ht="16.2" x14ac:dyDescent="0.3">
      <c r="H573"/>
      <c r="I573"/>
    </row>
    <row r="574" spans="8:9" ht="16.2" x14ac:dyDescent="0.3">
      <c r="H574"/>
      <c r="I574"/>
    </row>
    <row r="575" spans="8:9" ht="16.2" x14ac:dyDescent="0.3">
      <c r="H575"/>
      <c r="I575"/>
    </row>
    <row r="576" spans="8:9" ht="16.2" x14ac:dyDescent="0.3">
      <c r="H576"/>
      <c r="I576"/>
    </row>
    <row r="577" spans="8:9" ht="16.2" x14ac:dyDescent="0.3">
      <c r="H577"/>
      <c r="I577"/>
    </row>
    <row r="578" spans="8:9" ht="16.2" x14ac:dyDescent="0.3">
      <c r="H578"/>
      <c r="I578"/>
    </row>
    <row r="579" spans="8:9" ht="16.2" x14ac:dyDescent="0.3">
      <c r="H579"/>
      <c r="I579"/>
    </row>
    <row r="580" spans="8:9" ht="16.2" x14ac:dyDescent="0.3">
      <c r="H580"/>
      <c r="I580"/>
    </row>
    <row r="581" spans="8:9" ht="16.2" x14ac:dyDescent="0.3">
      <c r="H581"/>
      <c r="I581"/>
    </row>
    <row r="582" spans="8:9" ht="16.2" x14ac:dyDescent="0.3">
      <c r="H582"/>
      <c r="I582"/>
    </row>
    <row r="583" spans="8:9" ht="16.2" x14ac:dyDescent="0.3">
      <c r="H583"/>
      <c r="I583"/>
    </row>
    <row r="584" spans="8:9" ht="16.2" x14ac:dyDescent="0.3">
      <c r="H584"/>
      <c r="I584"/>
    </row>
    <row r="585" spans="8:9" ht="16.2" x14ac:dyDescent="0.3">
      <c r="H585"/>
      <c r="I585"/>
    </row>
    <row r="586" spans="8:9" ht="16.2" x14ac:dyDescent="0.3">
      <c r="H586"/>
      <c r="I586"/>
    </row>
    <row r="587" spans="8:9" ht="16.2" x14ac:dyDescent="0.3">
      <c r="H587"/>
      <c r="I587"/>
    </row>
    <row r="588" spans="8:9" ht="16.2" x14ac:dyDescent="0.3">
      <c r="H588"/>
      <c r="I588"/>
    </row>
    <row r="589" spans="8:9" ht="16.2" x14ac:dyDescent="0.3">
      <c r="H589"/>
      <c r="I589"/>
    </row>
    <row r="590" spans="8:9" ht="16.2" x14ac:dyDescent="0.3">
      <c r="H590"/>
      <c r="I590"/>
    </row>
    <row r="591" spans="8:9" ht="16.2" x14ac:dyDescent="0.3">
      <c r="H591"/>
      <c r="I591"/>
    </row>
    <row r="592" spans="8:9" ht="16.2" x14ac:dyDescent="0.3">
      <c r="H592"/>
      <c r="I592"/>
    </row>
    <row r="593" spans="8:9" ht="16.2" x14ac:dyDescent="0.3">
      <c r="H593"/>
      <c r="I593"/>
    </row>
    <row r="594" spans="8:9" ht="16.2" x14ac:dyDescent="0.3">
      <c r="H594"/>
      <c r="I594"/>
    </row>
    <row r="595" spans="8:9" ht="16.2" x14ac:dyDescent="0.3">
      <c r="H595"/>
      <c r="I595"/>
    </row>
    <row r="596" spans="8:9" ht="16.2" x14ac:dyDescent="0.3">
      <c r="H596"/>
      <c r="I596"/>
    </row>
    <row r="597" spans="8:9" ht="16.2" x14ac:dyDescent="0.3">
      <c r="H597"/>
      <c r="I597"/>
    </row>
    <row r="598" spans="8:9" ht="16.2" x14ac:dyDescent="0.3">
      <c r="H598"/>
      <c r="I598"/>
    </row>
    <row r="599" spans="8:9" ht="16.2" x14ac:dyDescent="0.3">
      <c r="H599"/>
      <c r="I599"/>
    </row>
    <row r="600" spans="8:9" ht="16.2" x14ac:dyDescent="0.3">
      <c r="H600"/>
      <c r="I600"/>
    </row>
    <row r="601" spans="8:9" ht="16.2" x14ac:dyDescent="0.3">
      <c r="H601"/>
      <c r="I601"/>
    </row>
    <row r="602" spans="8:9" ht="16.2" x14ac:dyDescent="0.3">
      <c r="H602"/>
      <c r="I602"/>
    </row>
    <row r="603" spans="8:9" ht="16.2" x14ac:dyDescent="0.3">
      <c r="H603"/>
      <c r="I603"/>
    </row>
    <row r="604" spans="8:9" ht="16.2" x14ac:dyDescent="0.3">
      <c r="H604"/>
      <c r="I604"/>
    </row>
    <row r="605" spans="8:9" ht="16.2" x14ac:dyDescent="0.3">
      <c r="H605"/>
      <c r="I605"/>
    </row>
    <row r="606" spans="8:9" ht="16.2" x14ac:dyDescent="0.3">
      <c r="H606"/>
      <c r="I606"/>
    </row>
    <row r="607" spans="8:9" ht="16.2" x14ac:dyDescent="0.3">
      <c r="H607"/>
      <c r="I607"/>
    </row>
    <row r="608" spans="8:9" ht="16.2" x14ac:dyDescent="0.3">
      <c r="H608"/>
      <c r="I608"/>
    </row>
    <row r="609" spans="8:9" ht="16.2" x14ac:dyDescent="0.3">
      <c r="H609"/>
      <c r="I609"/>
    </row>
    <row r="610" spans="8:9" ht="16.2" x14ac:dyDescent="0.3">
      <c r="H610"/>
      <c r="I610"/>
    </row>
    <row r="611" spans="8:9" ht="16.2" x14ac:dyDescent="0.3">
      <c r="H611"/>
      <c r="I611"/>
    </row>
    <row r="612" spans="8:9" ht="16.2" x14ac:dyDescent="0.3">
      <c r="H612"/>
      <c r="I612"/>
    </row>
    <row r="613" spans="8:9" ht="16.2" x14ac:dyDescent="0.3">
      <c r="H613"/>
      <c r="I613"/>
    </row>
    <row r="614" spans="8:9" ht="16.2" x14ac:dyDescent="0.3">
      <c r="H614"/>
      <c r="I614"/>
    </row>
    <row r="615" spans="8:9" ht="16.2" x14ac:dyDescent="0.3">
      <c r="H615"/>
      <c r="I615"/>
    </row>
    <row r="616" spans="8:9" ht="16.2" x14ac:dyDescent="0.3">
      <c r="H616"/>
      <c r="I616"/>
    </row>
    <row r="617" spans="8:9" ht="16.2" x14ac:dyDescent="0.3">
      <c r="H617"/>
      <c r="I617"/>
    </row>
    <row r="618" spans="8:9" ht="16.2" x14ac:dyDescent="0.3">
      <c r="H618"/>
      <c r="I618"/>
    </row>
    <row r="619" spans="8:9" ht="16.2" x14ac:dyDescent="0.3">
      <c r="H619"/>
      <c r="I619"/>
    </row>
    <row r="620" spans="8:9" ht="16.2" x14ac:dyDescent="0.3">
      <c r="H620"/>
      <c r="I620"/>
    </row>
    <row r="621" spans="8:9" ht="16.2" x14ac:dyDescent="0.3">
      <c r="H621"/>
      <c r="I621"/>
    </row>
    <row r="622" spans="8:9" ht="16.2" x14ac:dyDescent="0.3">
      <c r="H622"/>
      <c r="I622"/>
    </row>
    <row r="623" spans="8:9" ht="16.2" x14ac:dyDescent="0.3">
      <c r="H623"/>
      <c r="I623"/>
    </row>
    <row r="624" spans="8:9" ht="16.2" x14ac:dyDescent="0.3">
      <c r="H624"/>
      <c r="I624"/>
    </row>
    <row r="625" spans="8:9" ht="16.2" x14ac:dyDescent="0.3">
      <c r="H625"/>
      <c r="I625"/>
    </row>
    <row r="626" spans="8:9" ht="16.2" x14ac:dyDescent="0.3">
      <c r="H626"/>
      <c r="I626"/>
    </row>
    <row r="627" spans="8:9" ht="16.2" x14ac:dyDescent="0.3">
      <c r="H627"/>
      <c r="I627"/>
    </row>
    <row r="628" spans="8:9" ht="16.2" x14ac:dyDescent="0.3">
      <c r="H628"/>
      <c r="I628"/>
    </row>
    <row r="629" spans="8:9" ht="16.2" x14ac:dyDescent="0.3">
      <c r="H629"/>
      <c r="I629"/>
    </row>
    <row r="630" spans="8:9" ht="16.2" x14ac:dyDescent="0.3">
      <c r="H630"/>
      <c r="I630"/>
    </row>
    <row r="631" spans="8:9" ht="16.2" x14ac:dyDescent="0.3">
      <c r="H631"/>
      <c r="I631"/>
    </row>
    <row r="632" spans="8:9" ht="16.2" x14ac:dyDescent="0.3">
      <c r="H632"/>
      <c r="I632"/>
    </row>
    <row r="633" spans="8:9" ht="16.2" x14ac:dyDescent="0.3">
      <c r="H633"/>
      <c r="I633"/>
    </row>
    <row r="634" spans="8:9" ht="16.2" x14ac:dyDescent="0.3">
      <c r="H634"/>
      <c r="I634"/>
    </row>
    <row r="635" spans="8:9" ht="16.2" x14ac:dyDescent="0.3">
      <c r="H635"/>
      <c r="I635"/>
    </row>
    <row r="636" spans="8:9" ht="16.2" x14ac:dyDescent="0.3">
      <c r="H636"/>
      <c r="I636"/>
    </row>
    <row r="637" spans="8:9" ht="16.2" x14ac:dyDescent="0.3">
      <c r="H637"/>
      <c r="I637"/>
    </row>
    <row r="638" spans="8:9" ht="16.2" x14ac:dyDescent="0.3">
      <c r="H638"/>
      <c r="I638"/>
    </row>
    <row r="639" spans="8:9" ht="16.2" x14ac:dyDescent="0.3">
      <c r="H639"/>
      <c r="I639"/>
    </row>
    <row r="640" spans="8:9" ht="16.2" x14ac:dyDescent="0.3">
      <c r="H640"/>
      <c r="I640"/>
    </row>
    <row r="641" spans="8:9" ht="16.2" x14ac:dyDescent="0.3">
      <c r="H641"/>
      <c r="I641"/>
    </row>
    <row r="642" spans="8:9" ht="16.2" x14ac:dyDescent="0.3">
      <c r="H642"/>
      <c r="I642"/>
    </row>
    <row r="643" spans="8:9" ht="16.2" x14ac:dyDescent="0.3">
      <c r="H643"/>
      <c r="I643"/>
    </row>
    <row r="644" spans="8:9" ht="16.2" x14ac:dyDescent="0.3">
      <c r="H644"/>
      <c r="I644"/>
    </row>
    <row r="645" spans="8:9" ht="16.2" x14ac:dyDescent="0.3">
      <c r="H645"/>
      <c r="I645"/>
    </row>
    <row r="646" spans="8:9" ht="16.2" x14ac:dyDescent="0.3">
      <c r="H646"/>
      <c r="I646"/>
    </row>
    <row r="647" spans="8:9" ht="16.2" x14ac:dyDescent="0.3">
      <c r="H647"/>
      <c r="I647"/>
    </row>
    <row r="648" spans="8:9" ht="16.2" x14ac:dyDescent="0.3">
      <c r="H648"/>
      <c r="I648"/>
    </row>
    <row r="649" spans="8:9" ht="16.2" x14ac:dyDescent="0.3">
      <c r="H649"/>
      <c r="I649"/>
    </row>
    <row r="650" spans="8:9" ht="16.2" x14ac:dyDescent="0.3">
      <c r="H650"/>
      <c r="I650"/>
    </row>
    <row r="651" spans="8:9" ht="16.2" x14ac:dyDescent="0.3">
      <c r="H651"/>
      <c r="I651"/>
    </row>
    <row r="652" spans="8:9" ht="16.2" x14ac:dyDescent="0.3">
      <c r="H652"/>
      <c r="I652"/>
    </row>
    <row r="653" spans="8:9" ht="16.2" x14ac:dyDescent="0.3">
      <c r="H653"/>
      <c r="I653"/>
    </row>
    <row r="654" spans="8:9" ht="16.2" x14ac:dyDescent="0.3">
      <c r="H654"/>
      <c r="I654"/>
    </row>
    <row r="655" spans="8:9" ht="16.2" x14ac:dyDescent="0.3">
      <c r="H655"/>
      <c r="I655"/>
    </row>
    <row r="656" spans="8:9" ht="16.2" x14ac:dyDescent="0.3">
      <c r="H656"/>
      <c r="I656"/>
    </row>
    <row r="657" spans="8:9" ht="16.2" x14ac:dyDescent="0.3">
      <c r="H657"/>
      <c r="I657"/>
    </row>
    <row r="658" spans="8:9" ht="16.2" x14ac:dyDescent="0.3">
      <c r="H658"/>
      <c r="I658"/>
    </row>
    <row r="659" spans="8:9" ht="16.2" x14ac:dyDescent="0.3">
      <c r="H659"/>
      <c r="I659"/>
    </row>
    <row r="660" spans="8:9" ht="16.2" x14ac:dyDescent="0.3">
      <c r="H660"/>
      <c r="I660"/>
    </row>
    <row r="661" spans="8:9" ht="16.2" x14ac:dyDescent="0.3">
      <c r="H661"/>
      <c r="I661"/>
    </row>
    <row r="662" spans="8:9" ht="16.2" x14ac:dyDescent="0.3">
      <c r="H662"/>
      <c r="I662"/>
    </row>
    <row r="663" spans="8:9" ht="16.2" x14ac:dyDescent="0.3">
      <c r="H663"/>
      <c r="I663"/>
    </row>
    <row r="664" spans="8:9" ht="16.2" x14ac:dyDescent="0.3">
      <c r="H664"/>
      <c r="I664"/>
    </row>
    <row r="665" spans="8:9" ht="16.2" x14ac:dyDescent="0.3">
      <c r="H665"/>
      <c r="I665"/>
    </row>
    <row r="666" spans="8:9" ht="16.2" x14ac:dyDescent="0.3">
      <c r="H666"/>
      <c r="I666"/>
    </row>
    <row r="667" spans="8:9" ht="16.2" x14ac:dyDescent="0.3">
      <c r="H667"/>
      <c r="I667"/>
    </row>
    <row r="668" spans="8:9" ht="16.2" x14ac:dyDescent="0.3">
      <c r="H668"/>
      <c r="I668"/>
    </row>
    <row r="669" spans="8:9" ht="16.2" x14ac:dyDescent="0.3">
      <c r="H669"/>
      <c r="I669"/>
    </row>
    <row r="670" spans="8:9" ht="16.2" x14ac:dyDescent="0.3">
      <c r="H670"/>
      <c r="I670"/>
    </row>
    <row r="671" spans="8:9" ht="16.2" x14ac:dyDescent="0.3">
      <c r="H671"/>
      <c r="I671"/>
    </row>
    <row r="672" spans="8:9" ht="16.2" x14ac:dyDescent="0.3">
      <c r="H672"/>
      <c r="I672"/>
    </row>
    <row r="673" spans="8:9" ht="16.2" x14ac:dyDescent="0.3">
      <c r="H673"/>
      <c r="I673"/>
    </row>
    <row r="674" spans="8:9" ht="16.2" x14ac:dyDescent="0.3">
      <c r="H674"/>
      <c r="I674"/>
    </row>
    <row r="675" spans="8:9" ht="16.2" x14ac:dyDescent="0.3">
      <c r="H675"/>
      <c r="I675"/>
    </row>
    <row r="676" spans="8:9" ht="16.2" x14ac:dyDescent="0.3">
      <c r="H676"/>
      <c r="I676"/>
    </row>
    <row r="677" spans="8:9" ht="16.2" x14ac:dyDescent="0.3">
      <c r="H677"/>
      <c r="I677"/>
    </row>
    <row r="678" spans="8:9" ht="16.2" x14ac:dyDescent="0.3">
      <c r="H678"/>
      <c r="I678"/>
    </row>
    <row r="679" spans="8:9" ht="16.2" x14ac:dyDescent="0.3">
      <c r="H679"/>
      <c r="I679"/>
    </row>
    <row r="680" spans="8:9" ht="16.2" x14ac:dyDescent="0.3">
      <c r="H680"/>
      <c r="I680"/>
    </row>
    <row r="681" spans="8:9" ht="16.2" x14ac:dyDescent="0.3">
      <c r="H681"/>
      <c r="I681"/>
    </row>
    <row r="682" spans="8:9" ht="16.2" x14ac:dyDescent="0.3">
      <c r="H682"/>
      <c r="I682"/>
    </row>
    <row r="683" spans="8:9" ht="16.2" x14ac:dyDescent="0.3">
      <c r="H683"/>
      <c r="I683"/>
    </row>
    <row r="684" spans="8:9" ht="16.2" x14ac:dyDescent="0.3">
      <c r="H684"/>
      <c r="I684"/>
    </row>
    <row r="685" spans="8:9" ht="16.2" x14ac:dyDescent="0.3">
      <c r="H685"/>
      <c r="I685"/>
    </row>
    <row r="686" spans="8:9" ht="16.2" x14ac:dyDescent="0.3">
      <c r="H686"/>
      <c r="I686"/>
    </row>
    <row r="687" spans="8:9" ht="16.2" x14ac:dyDescent="0.3">
      <c r="H687"/>
      <c r="I687"/>
    </row>
    <row r="688" spans="8:9" ht="16.2" x14ac:dyDescent="0.3">
      <c r="H688"/>
      <c r="I688"/>
    </row>
    <row r="689" spans="8:9" ht="16.2" x14ac:dyDescent="0.3">
      <c r="H689"/>
      <c r="I689"/>
    </row>
    <row r="690" spans="8:9" ht="16.2" x14ac:dyDescent="0.3">
      <c r="H690"/>
      <c r="I690"/>
    </row>
    <row r="691" spans="8:9" ht="16.2" x14ac:dyDescent="0.3">
      <c r="H691"/>
      <c r="I691"/>
    </row>
    <row r="692" spans="8:9" ht="16.2" x14ac:dyDescent="0.3">
      <c r="H692"/>
      <c r="I692"/>
    </row>
    <row r="693" spans="8:9" ht="16.2" x14ac:dyDescent="0.3">
      <c r="H693"/>
      <c r="I693"/>
    </row>
    <row r="694" spans="8:9" ht="16.2" x14ac:dyDescent="0.3">
      <c r="H694"/>
      <c r="I694"/>
    </row>
    <row r="695" spans="8:9" ht="16.2" x14ac:dyDescent="0.3">
      <c r="H695"/>
      <c r="I695"/>
    </row>
    <row r="696" spans="8:9" ht="16.2" x14ac:dyDescent="0.3">
      <c r="H696"/>
      <c r="I696"/>
    </row>
    <row r="697" spans="8:9" ht="16.2" x14ac:dyDescent="0.3">
      <c r="H697"/>
      <c r="I697"/>
    </row>
    <row r="698" spans="8:9" ht="16.2" x14ac:dyDescent="0.3">
      <c r="H698"/>
      <c r="I698"/>
    </row>
    <row r="699" spans="8:9" ht="16.2" x14ac:dyDescent="0.3">
      <c r="H699"/>
      <c r="I699"/>
    </row>
    <row r="700" spans="8:9" ht="16.2" x14ac:dyDescent="0.3">
      <c r="H700"/>
      <c r="I700"/>
    </row>
    <row r="701" spans="8:9" ht="16.2" x14ac:dyDescent="0.3">
      <c r="H701"/>
      <c r="I701"/>
    </row>
    <row r="702" spans="8:9" ht="16.2" x14ac:dyDescent="0.3">
      <c r="H702"/>
      <c r="I702"/>
    </row>
    <row r="703" spans="8:9" ht="16.2" x14ac:dyDescent="0.3">
      <c r="H703"/>
      <c r="I703"/>
    </row>
    <row r="704" spans="8:9" ht="16.2" x14ac:dyDescent="0.3">
      <c r="H704"/>
      <c r="I704"/>
    </row>
    <row r="705" spans="8:9" ht="16.2" x14ac:dyDescent="0.3">
      <c r="H705"/>
      <c r="I705"/>
    </row>
    <row r="706" spans="8:9" ht="16.2" x14ac:dyDescent="0.3">
      <c r="H706"/>
      <c r="I706"/>
    </row>
    <row r="707" spans="8:9" ht="16.2" x14ac:dyDescent="0.3">
      <c r="H707"/>
      <c r="I707"/>
    </row>
    <row r="708" spans="8:9" ht="16.2" x14ac:dyDescent="0.3">
      <c r="H708"/>
      <c r="I708"/>
    </row>
    <row r="709" spans="8:9" ht="16.2" x14ac:dyDescent="0.3">
      <c r="H709"/>
      <c r="I709"/>
    </row>
    <row r="710" spans="8:9" ht="16.2" x14ac:dyDescent="0.3">
      <c r="H710"/>
      <c r="I710"/>
    </row>
    <row r="711" spans="8:9" ht="16.2" x14ac:dyDescent="0.3">
      <c r="H711"/>
      <c r="I711"/>
    </row>
    <row r="712" spans="8:9" ht="16.2" x14ac:dyDescent="0.3">
      <c r="H712"/>
      <c r="I712"/>
    </row>
    <row r="713" spans="8:9" ht="16.2" x14ac:dyDescent="0.3">
      <c r="H713"/>
      <c r="I713"/>
    </row>
    <row r="714" spans="8:9" ht="16.2" x14ac:dyDescent="0.3">
      <c r="H714"/>
      <c r="I714"/>
    </row>
    <row r="715" spans="8:9" ht="16.2" x14ac:dyDescent="0.3">
      <c r="H715"/>
      <c r="I715"/>
    </row>
    <row r="716" spans="8:9" ht="16.2" x14ac:dyDescent="0.3">
      <c r="H716"/>
      <c r="I716"/>
    </row>
    <row r="717" spans="8:9" ht="16.2" x14ac:dyDescent="0.3">
      <c r="H717"/>
      <c r="I717"/>
    </row>
    <row r="718" spans="8:9" ht="16.2" x14ac:dyDescent="0.3">
      <c r="H718"/>
      <c r="I718"/>
    </row>
    <row r="719" spans="8:9" ht="16.2" x14ac:dyDescent="0.3">
      <c r="H719"/>
      <c r="I719"/>
    </row>
    <row r="720" spans="8:9" ht="16.2" x14ac:dyDescent="0.3">
      <c r="H720"/>
      <c r="I720"/>
    </row>
    <row r="721" spans="8:9" ht="16.2" x14ac:dyDescent="0.3">
      <c r="H721"/>
      <c r="I721"/>
    </row>
    <row r="722" spans="8:9" ht="16.2" x14ac:dyDescent="0.3">
      <c r="H722"/>
      <c r="I722"/>
    </row>
    <row r="723" spans="8:9" ht="16.2" x14ac:dyDescent="0.3">
      <c r="H723"/>
      <c r="I723"/>
    </row>
    <row r="724" spans="8:9" ht="16.2" x14ac:dyDescent="0.3">
      <c r="H724"/>
      <c r="I724"/>
    </row>
    <row r="725" spans="8:9" ht="16.2" x14ac:dyDescent="0.3">
      <c r="H725"/>
      <c r="I725"/>
    </row>
    <row r="726" spans="8:9" ht="16.2" x14ac:dyDescent="0.3">
      <c r="H726"/>
      <c r="I726"/>
    </row>
    <row r="727" spans="8:9" ht="16.2" x14ac:dyDescent="0.3">
      <c r="H727"/>
      <c r="I727"/>
    </row>
    <row r="728" spans="8:9" ht="16.2" x14ac:dyDescent="0.3">
      <c r="H728"/>
      <c r="I728"/>
    </row>
    <row r="729" spans="8:9" ht="16.2" x14ac:dyDescent="0.3">
      <c r="H729"/>
      <c r="I729"/>
    </row>
    <row r="730" spans="8:9" ht="16.2" x14ac:dyDescent="0.3">
      <c r="H730"/>
      <c r="I730"/>
    </row>
    <row r="731" spans="8:9" ht="16.2" x14ac:dyDescent="0.3">
      <c r="H731"/>
      <c r="I731"/>
    </row>
    <row r="732" spans="8:9" ht="16.2" x14ac:dyDescent="0.3">
      <c r="H732"/>
      <c r="I732"/>
    </row>
    <row r="733" spans="8:9" ht="16.2" x14ac:dyDescent="0.3">
      <c r="H733"/>
      <c r="I733"/>
    </row>
    <row r="734" spans="8:9" ht="16.2" x14ac:dyDescent="0.3">
      <c r="H734"/>
      <c r="I734"/>
    </row>
    <row r="735" spans="8:9" ht="16.2" x14ac:dyDescent="0.3">
      <c r="H735"/>
      <c r="I735"/>
    </row>
    <row r="736" spans="8:9" ht="16.2" x14ac:dyDescent="0.3">
      <c r="H736"/>
      <c r="I736"/>
    </row>
    <row r="737" spans="8:9" ht="16.2" x14ac:dyDescent="0.3">
      <c r="H737"/>
      <c r="I737"/>
    </row>
    <row r="738" spans="8:9" ht="16.2" x14ac:dyDescent="0.3">
      <c r="H738"/>
      <c r="I738"/>
    </row>
    <row r="739" spans="8:9" ht="16.2" x14ac:dyDescent="0.3">
      <c r="H739"/>
      <c r="I739"/>
    </row>
    <row r="740" spans="8:9" ht="16.2" x14ac:dyDescent="0.3">
      <c r="H740"/>
      <c r="I740"/>
    </row>
    <row r="741" spans="8:9" ht="16.2" x14ac:dyDescent="0.3">
      <c r="H741"/>
      <c r="I741"/>
    </row>
    <row r="742" spans="8:9" ht="16.2" x14ac:dyDescent="0.3">
      <c r="H742"/>
      <c r="I742"/>
    </row>
    <row r="743" spans="8:9" ht="16.2" x14ac:dyDescent="0.3">
      <c r="H743"/>
      <c r="I743"/>
    </row>
    <row r="744" spans="8:9" ht="16.2" x14ac:dyDescent="0.3">
      <c r="H744"/>
      <c r="I744"/>
    </row>
    <row r="745" spans="8:9" ht="16.2" x14ac:dyDescent="0.3">
      <c r="H745"/>
      <c r="I745"/>
    </row>
    <row r="746" spans="8:9" ht="16.2" x14ac:dyDescent="0.3">
      <c r="H746"/>
      <c r="I746"/>
    </row>
    <row r="747" spans="8:9" ht="16.2" x14ac:dyDescent="0.3">
      <c r="H747"/>
      <c r="I747"/>
    </row>
    <row r="748" spans="8:9" ht="16.2" x14ac:dyDescent="0.3">
      <c r="H748"/>
      <c r="I748"/>
    </row>
    <row r="749" spans="8:9" ht="16.2" x14ac:dyDescent="0.3">
      <c r="H749"/>
      <c r="I749"/>
    </row>
    <row r="750" spans="8:9" ht="16.2" x14ac:dyDescent="0.3">
      <c r="H750"/>
      <c r="I750"/>
    </row>
    <row r="751" spans="8:9" ht="16.2" x14ac:dyDescent="0.3">
      <c r="H751"/>
      <c r="I751"/>
    </row>
    <row r="752" spans="8:9" ht="16.2" x14ac:dyDescent="0.3">
      <c r="H752"/>
      <c r="I752"/>
    </row>
    <row r="753" spans="8:9" ht="16.2" x14ac:dyDescent="0.3">
      <c r="H753"/>
      <c r="I753"/>
    </row>
    <row r="754" spans="8:9" ht="16.2" x14ac:dyDescent="0.3">
      <c r="H754"/>
      <c r="I754"/>
    </row>
    <row r="755" spans="8:9" ht="16.2" x14ac:dyDescent="0.3">
      <c r="H755"/>
      <c r="I755"/>
    </row>
    <row r="756" spans="8:9" ht="16.2" x14ac:dyDescent="0.3">
      <c r="H756"/>
      <c r="I756"/>
    </row>
    <row r="757" spans="8:9" ht="16.2" x14ac:dyDescent="0.3">
      <c r="H757"/>
      <c r="I757"/>
    </row>
    <row r="758" spans="8:9" ht="16.2" x14ac:dyDescent="0.3">
      <c r="H758"/>
      <c r="I758"/>
    </row>
    <row r="759" spans="8:9" ht="16.2" x14ac:dyDescent="0.3">
      <c r="H759"/>
      <c r="I759"/>
    </row>
    <row r="760" spans="8:9" ht="16.2" x14ac:dyDescent="0.3">
      <c r="H760"/>
      <c r="I760"/>
    </row>
    <row r="761" spans="8:9" ht="16.2" x14ac:dyDescent="0.3">
      <c r="H761"/>
      <c r="I761"/>
    </row>
    <row r="762" spans="8:9" ht="16.2" x14ac:dyDescent="0.3">
      <c r="H762"/>
      <c r="I762"/>
    </row>
    <row r="763" spans="8:9" ht="16.2" x14ac:dyDescent="0.3">
      <c r="H763"/>
      <c r="I763"/>
    </row>
    <row r="764" spans="8:9" ht="16.2" x14ac:dyDescent="0.3">
      <c r="H764"/>
      <c r="I764"/>
    </row>
    <row r="765" spans="8:9" ht="16.2" x14ac:dyDescent="0.3">
      <c r="H765"/>
      <c r="I765"/>
    </row>
    <row r="766" spans="8:9" ht="16.2" x14ac:dyDescent="0.3">
      <c r="H766"/>
      <c r="I766"/>
    </row>
    <row r="767" spans="8:9" ht="16.2" x14ac:dyDescent="0.3">
      <c r="H767"/>
      <c r="I767"/>
    </row>
    <row r="768" spans="8:9" ht="16.2" x14ac:dyDescent="0.3">
      <c r="H768"/>
      <c r="I768"/>
    </row>
    <row r="769" spans="8:9" ht="16.2" x14ac:dyDescent="0.3">
      <c r="H769"/>
      <c r="I769"/>
    </row>
    <row r="770" spans="8:9" ht="16.2" x14ac:dyDescent="0.3">
      <c r="H770"/>
      <c r="I770"/>
    </row>
    <row r="771" spans="8:9" ht="16.2" x14ac:dyDescent="0.3">
      <c r="H771"/>
      <c r="I771"/>
    </row>
    <row r="772" spans="8:9" ht="16.2" x14ac:dyDescent="0.3">
      <c r="H772"/>
      <c r="I772"/>
    </row>
    <row r="773" spans="8:9" ht="16.2" x14ac:dyDescent="0.3">
      <c r="H773"/>
      <c r="I773"/>
    </row>
    <row r="774" spans="8:9" ht="16.2" x14ac:dyDescent="0.3">
      <c r="H774"/>
      <c r="I774"/>
    </row>
    <row r="775" spans="8:9" ht="16.2" x14ac:dyDescent="0.3">
      <c r="H775"/>
      <c r="I775"/>
    </row>
    <row r="776" spans="8:9" ht="16.2" x14ac:dyDescent="0.3">
      <c r="H776"/>
      <c r="I776"/>
    </row>
    <row r="777" spans="8:9" ht="16.2" x14ac:dyDescent="0.3">
      <c r="H777"/>
      <c r="I777"/>
    </row>
    <row r="778" spans="8:9" ht="16.2" x14ac:dyDescent="0.3">
      <c r="H778"/>
      <c r="I778"/>
    </row>
    <row r="779" spans="8:9" ht="16.2" x14ac:dyDescent="0.3">
      <c r="H779"/>
      <c r="I779"/>
    </row>
    <row r="780" spans="8:9" ht="16.2" x14ac:dyDescent="0.3">
      <c r="H780"/>
      <c r="I780"/>
    </row>
    <row r="781" spans="8:9" ht="16.2" x14ac:dyDescent="0.3">
      <c r="H781"/>
      <c r="I781"/>
    </row>
    <row r="782" spans="8:9" ht="16.2" x14ac:dyDescent="0.3">
      <c r="H782"/>
      <c r="I782"/>
    </row>
    <row r="783" spans="8:9" ht="16.2" x14ac:dyDescent="0.3">
      <c r="H783"/>
      <c r="I783"/>
    </row>
    <row r="784" spans="8:9" ht="16.2" x14ac:dyDescent="0.3">
      <c r="H784"/>
      <c r="I784"/>
    </row>
    <row r="785" spans="8:9" ht="16.2" x14ac:dyDescent="0.3">
      <c r="H785"/>
      <c r="I785"/>
    </row>
    <row r="786" spans="8:9" ht="16.2" x14ac:dyDescent="0.3">
      <c r="H786"/>
      <c r="I786"/>
    </row>
    <row r="787" spans="8:9" ht="16.2" x14ac:dyDescent="0.3">
      <c r="H787"/>
      <c r="I787"/>
    </row>
    <row r="788" spans="8:9" ht="16.2" x14ac:dyDescent="0.3">
      <c r="H788"/>
      <c r="I788"/>
    </row>
    <row r="789" spans="8:9" ht="16.2" x14ac:dyDescent="0.3">
      <c r="H789"/>
      <c r="I789"/>
    </row>
    <row r="790" spans="8:9" ht="16.2" x14ac:dyDescent="0.3">
      <c r="H790"/>
      <c r="I790"/>
    </row>
    <row r="791" spans="8:9" ht="16.2" x14ac:dyDescent="0.3">
      <c r="H791"/>
      <c r="I791"/>
    </row>
    <row r="792" spans="8:9" ht="16.2" x14ac:dyDescent="0.3">
      <c r="H792"/>
      <c r="I792"/>
    </row>
    <row r="793" spans="8:9" ht="16.2" x14ac:dyDescent="0.3">
      <c r="H793"/>
      <c r="I793"/>
    </row>
    <row r="794" spans="8:9" ht="16.2" x14ac:dyDescent="0.3">
      <c r="H794"/>
      <c r="I794"/>
    </row>
    <row r="795" spans="8:9" ht="16.2" x14ac:dyDescent="0.3">
      <c r="H795"/>
      <c r="I795"/>
    </row>
    <row r="796" spans="8:9" ht="16.2" x14ac:dyDescent="0.3">
      <c r="H796"/>
      <c r="I796"/>
    </row>
    <row r="797" spans="8:9" ht="16.2" x14ac:dyDescent="0.3">
      <c r="H797"/>
      <c r="I797"/>
    </row>
    <row r="798" spans="8:9" ht="16.2" x14ac:dyDescent="0.3">
      <c r="H798"/>
      <c r="I798"/>
    </row>
    <row r="799" spans="8:9" ht="16.2" x14ac:dyDescent="0.3">
      <c r="H799"/>
      <c r="I799"/>
    </row>
    <row r="800" spans="8:9" ht="16.2" x14ac:dyDescent="0.3">
      <c r="H800"/>
      <c r="I800"/>
    </row>
    <row r="801" spans="8:9" ht="16.2" x14ac:dyDescent="0.3">
      <c r="H801"/>
      <c r="I801"/>
    </row>
    <row r="802" spans="8:9" ht="16.2" x14ac:dyDescent="0.3">
      <c r="H802"/>
      <c r="I802"/>
    </row>
    <row r="803" spans="8:9" ht="16.2" x14ac:dyDescent="0.3">
      <c r="H803"/>
      <c r="I803"/>
    </row>
    <row r="804" spans="8:9" ht="16.2" x14ac:dyDescent="0.3">
      <c r="H804"/>
      <c r="I804"/>
    </row>
    <row r="805" spans="8:9" ht="16.2" x14ac:dyDescent="0.3">
      <c r="H805"/>
      <c r="I805"/>
    </row>
    <row r="806" spans="8:9" ht="16.2" x14ac:dyDescent="0.3">
      <c r="H806"/>
      <c r="I806"/>
    </row>
    <row r="807" spans="8:9" ht="16.2" x14ac:dyDescent="0.3">
      <c r="H807"/>
      <c r="I807"/>
    </row>
    <row r="808" spans="8:9" ht="16.2" x14ac:dyDescent="0.3">
      <c r="H808"/>
      <c r="I808"/>
    </row>
    <row r="809" spans="8:9" ht="16.2" x14ac:dyDescent="0.3">
      <c r="H809"/>
      <c r="I809"/>
    </row>
    <row r="810" spans="8:9" ht="16.2" x14ac:dyDescent="0.3">
      <c r="H810"/>
      <c r="I810"/>
    </row>
    <row r="811" spans="8:9" ht="16.2" x14ac:dyDescent="0.3">
      <c r="H811"/>
      <c r="I811"/>
    </row>
    <row r="812" spans="8:9" ht="16.2" x14ac:dyDescent="0.3">
      <c r="H812"/>
      <c r="I812"/>
    </row>
    <row r="813" spans="8:9" ht="16.2" x14ac:dyDescent="0.3">
      <c r="H813"/>
      <c r="I813"/>
    </row>
    <row r="814" spans="8:9" ht="16.2" x14ac:dyDescent="0.3">
      <c r="H814"/>
      <c r="I814"/>
    </row>
    <row r="815" spans="8:9" ht="16.2" x14ac:dyDescent="0.3">
      <c r="H815"/>
      <c r="I815"/>
    </row>
    <row r="816" spans="8:9" ht="16.2" x14ac:dyDescent="0.3">
      <c r="H816"/>
      <c r="I816"/>
    </row>
    <row r="817" spans="8:9" ht="16.2" x14ac:dyDescent="0.3">
      <c r="H817"/>
      <c r="I817"/>
    </row>
    <row r="818" spans="8:9" ht="16.2" x14ac:dyDescent="0.3">
      <c r="H818"/>
      <c r="I818"/>
    </row>
    <row r="819" spans="8:9" ht="16.2" x14ac:dyDescent="0.3">
      <c r="H819"/>
      <c r="I819"/>
    </row>
    <row r="820" spans="8:9" ht="16.2" x14ac:dyDescent="0.3">
      <c r="H820"/>
      <c r="I820"/>
    </row>
    <row r="821" spans="8:9" ht="16.2" x14ac:dyDescent="0.3">
      <c r="H821"/>
      <c r="I821"/>
    </row>
    <row r="822" spans="8:9" ht="16.2" x14ac:dyDescent="0.3">
      <c r="H822"/>
      <c r="I822"/>
    </row>
    <row r="823" spans="8:9" ht="16.2" x14ac:dyDescent="0.3">
      <c r="H823"/>
      <c r="I823"/>
    </row>
    <row r="824" spans="8:9" ht="16.2" x14ac:dyDescent="0.3">
      <c r="H824"/>
      <c r="I824"/>
    </row>
    <row r="825" spans="8:9" ht="16.2" x14ac:dyDescent="0.3">
      <c r="H825"/>
      <c r="I825"/>
    </row>
    <row r="826" spans="8:9" ht="16.2" x14ac:dyDescent="0.3">
      <c r="H826"/>
      <c r="I826"/>
    </row>
    <row r="827" spans="8:9" ht="16.2" x14ac:dyDescent="0.3">
      <c r="H827"/>
      <c r="I827"/>
    </row>
    <row r="828" spans="8:9" ht="16.2" x14ac:dyDescent="0.3">
      <c r="H828"/>
      <c r="I828"/>
    </row>
    <row r="829" spans="8:9" ht="16.2" x14ac:dyDescent="0.3">
      <c r="H829"/>
      <c r="I829"/>
    </row>
    <row r="830" spans="8:9" ht="16.2" x14ac:dyDescent="0.3">
      <c r="H830"/>
      <c r="I830"/>
    </row>
    <row r="831" spans="8:9" ht="16.2" x14ac:dyDescent="0.3">
      <c r="H831"/>
      <c r="I831"/>
    </row>
    <row r="832" spans="8:9" ht="16.2" x14ac:dyDescent="0.3">
      <c r="H832"/>
      <c r="I832"/>
    </row>
    <row r="833" spans="8:9" ht="16.2" x14ac:dyDescent="0.3">
      <c r="H833"/>
      <c r="I833"/>
    </row>
    <row r="834" spans="8:9" ht="16.2" x14ac:dyDescent="0.3">
      <c r="H834"/>
      <c r="I834"/>
    </row>
    <row r="835" spans="8:9" ht="16.2" x14ac:dyDescent="0.3">
      <c r="H835"/>
      <c r="I835"/>
    </row>
    <row r="836" spans="8:9" ht="16.2" x14ac:dyDescent="0.3">
      <c r="H836"/>
      <c r="I836"/>
    </row>
    <row r="837" spans="8:9" ht="16.2" x14ac:dyDescent="0.3">
      <c r="H837"/>
      <c r="I837"/>
    </row>
    <row r="838" spans="8:9" ht="16.2" x14ac:dyDescent="0.3">
      <c r="H838"/>
      <c r="I838"/>
    </row>
    <row r="839" spans="8:9" ht="16.2" x14ac:dyDescent="0.3">
      <c r="H839"/>
      <c r="I839"/>
    </row>
    <row r="840" spans="8:9" ht="16.2" x14ac:dyDescent="0.3">
      <c r="H840"/>
      <c r="I840"/>
    </row>
    <row r="841" spans="8:9" ht="16.2" x14ac:dyDescent="0.3">
      <c r="H841"/>
      <c r="I841"/>
    </row>
    <row r="842" spans="8:9" ht="16.2" x14ac:dyDescent="0.3">
      <c r="H842"/>
      <c r="I842"/>
    </row>
    <row r="843" spans="8:9" ht="16.2" x14ac:dyDescent="0.3">
      <c r="H843"/>
      <c r="I843"/>
    </row>
    <row r="844" spans="8:9" ht="16.2" x14ac:dyDescent="0.3">
      <c r="H844"/>
      <c r="I844"/>
    </row>
    <row r="845" spans="8:9" ht="16.2" x14ac:dyDescent="0.3">
      <c r="H845"/>
      <c r="I845"/>
    </row>
    <row r="846" spans="8:9" ht="16.2" x14ac:dyDescent="0.3">
      <c r="H846"/>
      <c r="I846"/>
    </row>
    <row r="847" spans="8:9" ht="16.2" x14ac:dyDescent="0.3">
      <c r="H847"/>
      <c r="I847"/>
    </row>
    <row r="848" spans="8:9" ht="16.2" x14ac:dyDescent="0.3">
      <c r="H848"/>
      <c r="I848"/>
    </row>
    <row r="849" spans="8:9" ht="16.2" x14ac:dyDescent="0.3">
      <c r="H849"/>
      <c r="I849"/>
    </row>
    <row r="850" spans="8:9" ht="16.2" x14ac:dyDescent="0.3">
      <c r="H850"/>
      <c r="I850"/>
    </row>
    <row r="851" spans="8:9" ht="16.2" x14ac:dyDescent="0.3">
      <c r="H851"/>
      <c r="I851"/>
    </row>
    <row r="852" spans="8:9" ht="16.2" x14ac:dyDescent="0.3">
      <c r="H852"/>
      <c r="I852"/>
    </row>
    <row r="853" spans="8:9" ht="16.2" x14ac:dyDescent="0.3">
      <c r="H853"/>
      <c r="I853"/>
    </row>
    <row r="854" spans="8:9" ht="16.2" x14ac:dyDescent="0.3">
      <c r="H854"/>
      <c r="I854"/>
    </row>
    <row r="855" spans="8:9" ht="16.2" x14ac:dyDescent="0.3">
      <c r="H855"/>
      <c r="I855"/>
    </row>
    <row r="856" spans="8:9" ht="16.2" x14ac:dyDescent="0.3">
      <c r="H856"/>
      <c r="I856"/>
    </row>
    <row r="857" spans="8:9" ht="16.2" x14ac:dyDescent="0.3">
      <c r="H857"/>
      <c r="I857"/>
    </row>
    <row r="858" spans="8:9" ht="16.2" x14ac:dyDescent="0.3">
      <c r="H858"/>
      <c r="I858"/>
    </row>
    <row r="859" spans="8:9" ht="16.2" x14ac:dyDescent="0.3">
      <c r="H859"/>
      <c r="I859"/>
    </row>
    <row r="860" spans="8:9" ht="16.2" x14ac:dyDescent="0.3">
      <c r="H860"/>
      <c r="I860"/>
    </row>
    <row r="861" spans="8:9" ht="16.2" x14ac:dyDescent="0.3">
      <c r="H861"/>
      <c r="I861"/>
    </row>
    <row r="862" spans="8:9" ht="16.2" x14ac:dyDescent="0.3">
      <c r="H862"/>
      <c r="I862"/>
    </row>
    <row r="863" spans="8:9" ht="16.2" x14ac:dyDescent="0.3">
      <c r="H863"/>
      <c r="I863"/>
    </row>
    <row r="864" spans="8:9" ht="16.2" x14ac:dyDescent="0.3">
      <c r="H864"/>
      <c r="I864"/>
    </row>
    <row r="865" spans="8:9" ht="16.2" x14ac:dyDescent="0.3">
      <c r="H865"/>
      <c r="I865"/>
    </row>
    <row r="866" spans="8:9" ht="16.2" x14ac:dyDescent="0.3">
      <c r="H866"/>
      <c r="I866"/>
    </row>
    <row r="867" spans="8:9" ht="16.2" x14ac:dyDescent="0.3">
      <c r="H867"/>
      <c r="I867"/>
    </row>
    <row r="868" spans="8:9" ht="16.2" x14ac:dyDescent="0.3">
      <c r="H868"/>
      <c r="I868"/>
    </row>
    <row r="869" spans="8:9" ht="16.2" x14ac:dyDescent="0.3">
      <c r="H869"/>
      <c r="I869"/>
    </row>
    <row r="870" spans="8:9" ht="16.2" x14ac:dyDescent="0.3">
      <c r="H870"/>
      <c r="I870"/>
    </row>
    <row r="871" spans="8:9" ht="16.2" x14ac:dyDescent="0.3">
      <c r="H871"/>
      <c r="I871"/>
    </row>
    <row r="872" spans="8:9" ht="16.2" x14ac:dyDescent="0.3">
      <c r="H872"/>
      <c r="I872"/>
    </row>
    <row r="873" spans="8:9" ht="16.2" x14ac:dyDescent="0.3">
      <c r="H873"/>
      <c r="I873"/>
    </row>
    <row r="874" spans="8:9" ht="16.2" x14ac:dyDescent="0.3">
      <c r="H874"/>
      <c r="I874"/>
    </row>
    <row r="875" spans="8:9" ht="16.2" x14ac:dyDescent="0.3">
      <c r="H875"/>
      <c r="I875"/>
    </row>
    <row r="876" spans="8:9" ht="16.2" x14ac:dyDescent="0.3">
      <c r="H876"/>
      <c r="I876"/>
    </row>
    <row r="877" spans="8:9" ht="16.2" x14ac:dyDescent="0.3">
      <c r="H877"/>
      <c r="I877"/>
    </row>
    <row r="878" spans="8:9" ht="16.2" x14ac:dyDescent="0.3">
      <c r="H878"/>
      <c r="I878"/>
    </row>
    <row r="879" spans="8:9" ht="16.2" x14ac:dyDescent="0.3">
      <c r="H879"/>
      <c r="I879"/>
    </row>
    <row r="880" spans="8:9" ht="16.2" x14ac:dyDescent="0.3">
      <c r="H880"/>
      <c r="I880"/>
    </row>
    <row r="881" spans="8:9" ht="16.2" x14ac:dyDescent="0.3">
      <c r="H881"/>
      <c r="I881"/>
    </row>
    <row r="882" spans="8:9" ht="16.2" x14ac:dyDescent="0.3">
      <c r="H882"/>
      <c r="I882"/>
    </row>
    <row r="883" spans="8:9" ht="16.2" x14ac:dyDescent="0.3">
      <c r="H883"/>
      <c r="I883"/>
    </row>
    <row r="884" spans="8:9" ht="16.2" x14ac:dyDescent="0.3">
      <c r="H884"/>
      <c r="I884"/>
    </row>
    <row r="885" spans="8:9" ht="16.2" x14ac:dyDescent="0.3">
      <c r="H885"/>
      <c r="I885"/>
    </row>
    <row r="886" spans="8:9" ht="16.2" x14ac:dyDescent="0.3">
      <c r="H886"/>
      <c r="I886"/>
    </row>
    <row r="887" spans="8:9" ht="16.2" x14ac:dyDescent="0.3">
      <c r="H887"/>
      <c r="I887"/>
    </row>
    <row r="888" spans="8:9" ht="16.2" x14ac:dyDescent="0.3">
      <c r="H888"/>
      <c r="I888"/>
    </row>
    <row r="889" spans="8:9" ht="16.2" x14ac:dyDescent="0.3">
      <c r="H889"/>
      <c r="I889"/>
    </row>
    <row r="890" spans="8:9" ht="16.2" x14ac:dyDescent="0.3">
      <c r="H890"/>
      <c r="I890"/>
    </row>
    <row r="891" spans="8:9" ht="16.2" x14ac:dyDescent="0.3">
      <c r="H891"/>
      <c r="I891"/>
    </row>
    <row r="892" spans="8:9" ht="16.2" x14ac:dyDescent="0.3">
      <c r="H892"/>
      <c r="I892"/>
    </row>
    <row r="893" spans="8:9" ht="16.2" x14ac:dyDescent="0.3">
      <c r="H893"/>
      <c r="I893"/>
    </row>
    <row r="894" spans="8:9" ht="16.2" x14ac:dyDescent="0.3">
      <c r="H894"/>
      <c r="I894"/>
    </row>
    <row r="895" spans="8:9" ht="16.2" x14ac:dyDescent="0.3">
      <c r="H895"/>
      <c r="I895"/>
    </row>
    <row r="896" spans="8:9" ht="16.2" x14ac:dyDescent="0.3">
      <c r="H896"/>
      <c r="I896"/>
    </row>
    <row r="897" spans="8:9" ht="16.2" x14ac:dyDescent="0.3">
      <c r="H897"/>
      <c r="I897"/>
    </row>
    <row r="898" spans="8:9" ht="16.2" x14ac:dyDescent="0.3">
      <c r="H898"/>
      <c r="I898"/>
    </row>
    <row r="899" spans="8:9" ht="16.2" x14ac:dyDescent="0.3">
      <c r="H899"/>
      <c r="I899"/>
    </row>
    <row r="900" spans="8:9" ht="16.2" x14ac:dyDescent="0.3">
      <c r="H900"/>
      <c r="I900"/>
    </row>
    <row r="901" spans="8:9" ht="16.2" x14ac:dyDescent="0.3">
      <c r="H901"/>
      <c r="I901"/>
    </row>
    <row r="902" spans="8:9" ht="16.2" x14ac:dyDescent="0.3">
      <c r="H902"/>
      <c r="I902"/>
    </row>
    <row r="903" spans="8:9" ht="16.2" x14ac:dyDescent="0.3">
      <c r="H903"/>
      <c r="I903"/>
    </row>
    <row r="904" spans="8:9" ht="16.2" x14ac:dyDescent="0.3">
      <c r="H904"/>
      <c r="I904"/>
    </row>
    <row r="905" spans="8:9" ht="16.2" x14ac:dyDescent="0.3">
      <c r="H905"/>
      <c r="I905"/>
    </row>
    <row r="906" spans="8:9" ht="16.2" x14ac:dyDescent="0.3">
      <c r="H906"/>
      <c r="I906"/>
    </row>
    <row r="907" spans="8:9" ht="16.2" x14ac:dyDescent="0.3">
      <c r="H907"/>
      <c r="I907"/>
    </row>
    <row r="908" spans="8:9" ht="16.2" x14ac:dyDescent="0.3">
      <c r="H908"/>
      <c r="I908"/>
    </row>
    <row r="909" spans="8:9" ht="16.2" x14ac:dyDescent="0.3">
      <c r="H909"/>
      <c r="I909"/>
    </row>
    <row r="910" spans="8:9" ht="16.2" x14ac:dyDescent="0.3">
      <c r="H910"/>
      <c r="I910"/>
    </row>
    <row r="911" spans="8:9" ht="16.2" x14ac:dyDescent="0.3">
      <c r="H911"/>
      <c r="I911"/>
    </row>
    <row r="912" spans="8:9" ht="16.2" x14ac:dyDescent="0.3">
      <c r="H912"/>
      <c r="I912"/>
    </row>
    <row r="913" spans="8:9" ht="16.2" x14ac:dyDescent="0.3">
      <c r="H913"/>
      <c r="I913"/>
    </row>
    <row r="914" spans="8:9" ht="16.2" x14ac:dyDescent="0.3">
      <c r="H914"/>
      <c r="I914"/>
    </row>
    <row r="915" spans="8:9" ht="16.2" x14ac:dyDescent="0.3">
      <c r="H915"/>
      <c r="I915"/>
    </row>
    <row r="916" spans="8:9" ht="16.2" x14ac:dyDescent="0.3">
      <c r="H916"/>
      <c r="I916"/>
    </row>
    <row r="917" spans="8:9" ht="16.2" x14ac:dyDescent="0.3">
      <c r="H917"/>
      <c r="I917"/>
    </row>
    <row r="918" spans="8:9" ht="16.2" x14ac:dyDescent="0.3">
      <c r="H918"/>
      <c r="I918"/>
    </row>
    <row r="919" spans="8:9" ht="16.2" x14ac:dyDescent="0.3">
      <c r="H919"/>
      <c r="I919"/>
    </row>
    <row r="920" spans="8:9" ht="16.2" x14ac:dyDescent="0.3">
      <c r="H920"/>
      <c r="I920"/>
    </row>
    <row r="921" spans="8:9" ht="16.2" x14ac:dyDescent="0.3">
      <c r="H921"/>
      <c r="I921"/>
    </row>
    <row r="922" spans="8:9" ht="16.2" x14ac:dyDescent="0.3">
      <c r="H922"/>
      <c r="I922"/>
    </row>
    <row r="923" spans="8:9" ht="16.2" x14ac:dyDescent="0.3">
      <c r="H923"/>
      <c r="I923"/>
    </row>
    <row r="924" spans="8:9" ht="16.2" x14ac:dyDescent="0.3">
      <c r="H924"/>
      <c r="I924"/>
    </row>
    <row r="925" spans="8:9" ht="16.2" x14ac:dyDescent="0.3">
      <c r="H925"/>
      <c r="I925"/>
    </row>
    <row r="926" spans="8:9" ht="16.2" x14ac:dyDescent="0.3">
      <c r="H926"/>
      <c r="I926"/>
    </row>
    <row r="927" spans="8:9" ht="16.2" x14ac:dyDescent="0.3">
      <c r="H927"/>
      <c r="I927"/>
    </row>
    <row r="928" spans="8:9" ht="16.2" x14ac:dyDescent="0.3">
      <c r="H928"/>
      <c r="I928"/>
    </row>
    <row r="929" spans="8:9" ht="16.2" x14ac:dyDescent="0.3">
      <c r="H929"/>
      <c r="I929"/>
    </row>
    <row r="930" spans="8:9" ht="16.2" x14ac:dyDescent="0.3">
      <c r="H930"/>
      <c r="I930"/>
    </row>
    <row r="931" spans="8:9" ht="16.2" x14ac:dyDescent="0.3">
      <c r="H931"/>
      <c r="I931"/>
    </row>
    <row r="932" spans="8:9" ht="16.2" x14ac:dyDescent="0.3">
      <c r="H932"/>
      <c r="I932"/>
    </row>
    <row r="933" spans="8:9" ht="16.2" x14ac:dyDescent="0.3">
      <c r="H933"/>
      <c r="I933"/>
    </row>
    <row r="934" spans="8:9" ht="16.2" x14ac:dyDescent="0.3">
      <c r="H934"/>
      <c r="I934"/>
    </row>
    <row r="935" spans="8:9" ht="16.2" x14ac:dyDescent="0.3">
      <c r="H935"/>
      <c r="I935"/>
    </row>
    <row r="936" spans="8:9" ht="16.2" x14ac:dyDescent="0.3">
      <c r="H936"/>
      <c r="I936"/>
    </row>
    <row r="937" spans="8:9" ht="16.2" x14ac:dyDescent="0.3">
      <c r="H937"/>
      <c r="I937"/>
    </row>
    <row r="938" spans="8:9" ht="16.2" x14ac:dyDescent="0.3">
      <c r="H938"/>
      <c r="I938"/>
    </row>
    <row r="939" spans="8:9" ht="16.2" x14ac:dyDescent="0.3">
      <c r="H939"/>
      <c r="I939"/>
    </row>
    <row r="940" spans="8:9" ht="16.2" x14ac:dyDescent="0.3">
      <c r="H940"/>
      <c r="I940"/>
    </row>
    <row r="941" spans="8:9" ht="16.2" x14ac:dyDescent="0.3">
      <c r="H941"/>
      <c r="I941"/>
    </row>
    <row r="942" spans="8:9" ht="16.2" x14ac:dyDescent="0.3">
      <c r="H942"/>
      <c r="I942"/>
    </row>
    <row r="943" spans="8:9" ht="16.2" x14ac:dyDescent="0.3">
      <c r="H943"/>
      <c r="I943"/>
    </row>
    <row r="944" spans="8:9" ht="16.2" x14ac:dyDescent="0.3">
      <c r="H944"/>
      <c r="I944"/>
    </row>
    <row r="945" spans="8:9" ht="16.2" x14ac:dyDescent="0.3">
      <c r="H945"/>
      <c r="I945"/>
    </row>
    <row r="946" spans="8:9" ht="16.2" x14ac:dyDescent="0.3">
      <c r="H946"/>
      <c r="I946"/>
    </row>
    <row r="947" spans="8:9" ht="16.2" x14ac:dyDescent="0.3">
      <c r="H947"/>
      <c r="I947"/>
    </row>
    <row r="948" spans="8:9" ht="16.2" x14ac:dyDescent="0.3">
      <c r="H948"/>
      <c r="I948"/>
    </row>
    <row r="949" spans="8:9" ht="16.2" x14ac:dyDescent="0.3">
      <c r="H949"/>
      <c r="I949"/>
    </row>
    <row r="950" spans="8:9" ht="16.2" x14ac:dyDescent="0.3">
      <c r="H950"/>
      <c r="I950"/>
    </row>
    <row r="951" spans="8:9" ht="16.2" x14ac:dyDescent="0.3">
      <c r="H951"/>
      <c r="I951"/>
    </row>
    <row r="952" spans="8:9" ht="16.2" x14ac:dyDescent="0.3">
      <c r="H952"/>
      <c r="I952"/>
    </row>
    <row r="953" spans="8:9" ht="16.2" x14ac:dyDescent="0.3">
      <c r="H953"/>
      <c r="I953"/>
    </row>
    <row r="954" spans="8:9" ht="16.2" x14ac:dyDescent="0.3">
      <c r="H954"/>
      <c r="I954"/>
    </row>
    <row r="955" spans="8:9" ht="16.2" x14ac:dyDescent="0.3">
      <c r="H955"/>
      <c r="I955"/>
    </row>
    <row r="956" spans="8:9" ht="16.2" x14ac:dyDescent="0.3">
      <c r="H956"/>
      <c r="I956"/>
    </row>
    <row r="957" spans="8:9" ht="16.2" x14ac:dyDescent="0.3">
      <c r="H957"/>
      <c r="I957"/>
    </row>
    <row r="958" spans="8:9" ht="16.2" x14ac:dyDescent="0.3">
      <c r="H958"/>
      <c r="I958"/>
    </row>
    <row r="959" spans="8:9" ht="16.2" x14ac:dyDescent="0.3">
      <c r="H959"/>
      <c r="I959"/>
    </row>
    <row r="960" spans="8:9" ht="16.2" x14ac:dyDescent="0.3">
      <c r="H960"/>
      <c r="I960"/>
    </row>
    <row r="961" spans="8:9" ht="16.2" x14ac:dyDescent="0.3">
      <c r="H961"/>
      <c r="I961"/>
    </row>
    <row r="962" spans="8:9" ht="16.2" x14ac:dyDescent="0.3">
      <c r="H962"/>
      <c r="I962"/>
    </row>
    <row r="963" spans="8:9" ht="16.2" x14ac:dyDescent="0.3">
      <c r="H963"/>
      <c r="I963"/>
    </row>
    <row r="964" spans="8:9" ht="16.2" x14ac:dyDescent="0.3">
      <c r="H964"/>
      <c r="I964"/>
    </row>
    <row r="965" spans="8:9" ht="16.2" x14ac:dyDescent="0.3">
      <c r="H965"/>
      <c r="I965"/>
    </row>
    <row r="966" spans="8:9" ht="16.2" x14ac:dyDescent="0.3">
      <c r="H966"/>
      <c r="I966"/>
    </row>
    <row r="967" spans="8:9" ht="16.2" x14ac:dyDescent="0.3">
      <c r="H967"/>
      <c r="I967"/>
    </row>
    <row r="968" spans="8:9" ht="16.2" x14ac:dyDescent="0.3">
      <c r="H968"/>
      <c r="I968"/>
    </row>
    <row r="969" spans="8:9" ht="16.2" x14ac:dyDescent="0.3">
      <c r="H969"/>
      <c r="I969"/>
    </row>
    <row r="970" spans="8:9" ht="16.2" x14ac:dyDescent="0.3">
      <c r="H970"/>
      <c r="I970"/>
    </row>
    <row r="971" spans="8:9" ht="16.2" x14ac:dyDescent="0.3">
      <c r="H971"/>
      <c r="I971"/>
    </row>
    <row r="972" spans="8:9" ht="16.2" x14ac:dyDescent="0.3">
      <c r="H972"/>
      <c r="I972"/>
    </row>
    <row r="973" spans="8:9" ht="16.2" x14ac:dyDescent="0.3">
      <c r="H973"/>
      <c r="I973"/>
    </row>
    <row r="974" spans="8:9" ht="16.2" x14ac:dyDescent="0.3">
      <c r="H974"/>
      <c r="I974"/>
    </row>
    <row r="975" spans="8:9" ht="16.2" x14ac:dyDescent="0.3">
      <c r="H975"/>
      <c r="I975"/>
    </row>
    <row r="976" spans="8:9" ht="16.2" x14ac:dyDescent="0.3">
      <c r="H976"/>
      <c r="I976"/>
    </row>
    <row r="977" spans="8:9" ht="16.2" x14ac:dyDescent="0.3">
      <c r="H977"/>
      <c r="I977"/>
    </row>
    <row r="978" spans="8:9" ht="16.2" x14ac:dyDescent="0.3">
      <c r="H978"/>
      <c r="I978"/>
    </row>
    <row r="979" spans="8:9" ht="16.2" x14ac:dyDescent="0.3">
      <c r="H979"/>
      <c r="I979"/>
    </row>
    <row r="980" spans="8:9" ht="16.2" x14ac:dyDescent="0.3">
      <c r="H980"/>
      <c r="I980"/>
    </row>
    <row r="981" spans="8:9" ht="16.2" x14ac:dyDescent="0.3">
      <c r="H981"/>
      <c r="I981"/>
    </row>
    <row r="982" spans="8:9" ht="16.2" x14ac:dyDescent="0.3">
      <c r="H982"/>
      <c r="I982"/>
    </row>
    <row r="983" spans="8:9" ht="16.2" x14ac:dyDescent="0.3">
      <c r="H983"/>
      <c r="I983"/>
    </row>
    <row r="984" spans="8:9" ht="16.2" x14ac:dyDescent="0.3">
      <c r="H984"/>
      <c r="I984"/>
    </row>
    <row r="985" spans="8:9" ht="16.2" x14ac:dyDescent="0.3">
      <c r="H985"/>
      <c r="I985"/>
    </row>
    <row r="986" spans="8:9" ht="16.2" x14ac:dyDescent="0.3">
      <c r="H986"/>
      <c r="I986"/>
    </row>
    <row r="987" spans="8:9" ht="16.2" x14ac:dyDescent="0.3">
      <c r="H987"/>
      <c r="I987"/>
    </row>
    <row r="988" spans="8:9" ht="16.2" x14ac:dyDescent="0.3">
      <c r="H988"/>
      <c r="I988"/>
    </row>
    <row r="989" spans="8:9" ht="16.2" x14ac:dyDescent="0.3">
      <c r="H989"/>
      <c r="I989"/>
    </row>
    <row r="990" spans="8:9" ht="16.2" x14ac:dyDescent="0.3">
      <c r="H990"/>
      <c r="I990"/>
    </row>
    <row r="991" spans="8:9" ht="16.2" x14ac:dyDescent="0.3">
      <c r="H991"/>
      <c r="I991"/>
    </row>
    <row r="992" spans="8:9" ht="16.2" x14ac:dyDescent="0.3">
      <c r="H992"/>
      <c r="I992"/>
    </row>
    <row r="993" spans="8:9" ht="16.2" x14ac:dyDescent="0.3">
      <c r="H993"/>
      <c r="I993"/>
    </row>
    <row r="994" spans="8:9" ht="16.2" x14ac:dyDescent="0.3">
      <c r="H994"/>
      <c r="I994"/>
    </row>
    <row r="995" spans="8:9" ht="16.2" x14ac:dyDescent="0.3">
      <c r="H995"/>
      <c r="I995"/>
    </row>
    <row r="996" spans="8:9" ht="16.2" x14ac:dyDescent="0.3">
      <c r="H996"/>
      <c r="I996"/>
    </row>
    <row r="997" spans="8:9" ht="16.2" x14ac:dyDescent="0.3">
      <c r="H997"/>
      <c r="I997"/>
    </row>
    <row r="998" spans="8:9" ht="16.2" x14ac:dyDescent="0.3">
      <c r="H998"/>
      <c r="I998"/>
    </row>
    <row r="999" spans="8:9" ht="16.2" x14ac:dyDescent="0.3">
      <c r="H999"/>
      <c r="I999"/>
    </row>
    <row r="1000" spans="8:9" ht="16.2" x14ac:dyDescent="0.3">
      <c r="H1000"/>
      <c r="I1000"/>
    </row>
    <row r="1001" spans="8:9" ht="16.2" x14ac:dyDescent="0.3">
      <c r="H1001"/>
      <c r="I1001"/>
    </row>
    <row r="1002" spans="8:9" ht="16.2" x14ac:dyDescent="0.3">
      <c r="H1002"/>
      <c r="I1002"/>
    </row>
  </sheetData>
  <mergeCells count="2">
    <mergeCell ref="A1:E1"/>
    <mergeCell ref="F1:I1"/>
  </mergeCells>
  <phoneticPr fontId="3" type="noConversion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Drop Down 3">
              <controlPr defaultSize="0" autoLine="0" autoPict="0">
                <anchor mov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5" name="Button 8">
              <controlPr defaultSize="0" print="0" autoFill="0" autoPict="0" macro="[0]!RSpline_Run">
                <anchor moveWithCells="1" sizeWithCells="1">
                  <from>
                    <xdr:col>12</xdr:col>
                    <xdr:colOff>0</xdr:colOff>
                    <xdr:row>2</xdr:row>
                    <xdr:rowOff>167640</xdr:rowOff>
                  </from>
                  <to>
                    <xdr:col>13</xdr:col>
                    <xdr:colOff>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N1002"/>
  <sheetViews>
    <sheetView workbookViewId="0">
      <selection activeCell="B3" sqref="B3"/>
    </sheetView>
  </sheetViews>
  <sheetFormatPr defaultColWidth="9" defaultRowHeight="15" x14ac:dyDescent="0.3"/>
  <cols>
    <col min="1" max="1" width="5" style="2" customWidth="1"/>
    <col min="2" max="2" width="7.44140625" style="6" customWidth="1"/>
    <col min="3" max="3" width="7.44140625" style="5" customWidth="1"/>
    <col min="4" max="4" width="4.6640625" style="5" customWidth="1"/>
    <col min="5" max="5" width="6.88671875" style="2" customWidth="1"/>
    <col min="6" max="6" width="14.109375" style="6" bestFit="1" customWidth="1"/>
    <col min="7" max="7" width="12.33203125" style="5" bestFit="1" customWidth="1"/>
    <col min="8" max="8" width="5.6640625" style="2" customWidth="1"/>
    <col min="9" max="9" width="7.109375" style="2" customWidth="1"/>
    <col min="10" max="10" width="15" style="2" customWidth="1"/>
    <col min="11" max="11" width="13" style="2" bestFit="1" customWidth="1"/>
    <col min="12" max="16384" width="9" style="2"/>
  </cols>
  <sheetData>
    <row r="1" spans="1:14" ht="15.6" x14ac:dyDescent="0.3">
      <c r="A1" s="49" t="s">
        <v>23</v>
      </c>
      <c r="B1" s="49"/>
      <c r="C1" s="49"/>
      <c r="D1" s="23"/>
      <c r="E1" s="48" t="s">
        <v>21</v>
      </c>
      <c r="F1" s="48"/>
      <c r="G1" s="48"/>
      <c r="H1" s="19"/>
      <c r="I1" s="48" t="s">
        <v>27</v>
      </c>
      <c r="J1" s="48"/>
      <c r="K1" s="48"/>
    </row>
    <row r="2" spans="1:14" x14ac:dyDescent="0.3">
      <c r="A2" s="3" t="s">
        <v>15</v>
      </c>
      <c r="B2" s="4" t="s">
        <v>16</v>
      </c>
      <c r="C2" s="1" t="s">
        <v>17</v>
      </c>
      <c r="D2" s="24"/>
      <c r="E2" s="25" t="s">
        <v>15</v>
      </c>
      <c r="F2" s="26" t="str">
        <f>"Tenor = " &amp; (E4-E3)*12 &amp; " Mo"</f>
        <v>Tenor = 0.48 Mo</v>
      </c>
      <c r="G2" s="23" t="s">
        <v>22</v>
      </c>
      <c r="H2" s="19"/>
      <c r="I2" s="25" t="s">
        <v>15</v>
      </c>
      <c r="J2" s="26" t="str">
        <f>"Tenor = " &amp; (I4-I3)*12 &amp; " Mo"</f>
        <v>Tenor = 0.48 Mo</v>
      </c>
      <c r="K2" s="23" t="s">
        <v>22</v>
      </c>
    </row>
    <row r="3" spans="1:14" ht="16.2" x14ac:dyDescent="0.3">
      <c r="A3" s="2">
        <v>0</v>
      </c>
      <c r="B3" s="28">
        <v>2.3778894510000002E-3</v>
      </c>
      <c r="C3" s="29">
        <v>1</v>
      </c>
      <c r="D3" s="24"/>
      <c r="E3" s="27">
        <v>0</v>
      </c>
      <c r="F3" s="20">
        <v>2.2651120164566283E-3</v>
      </c>
      <c r="G3" s="20">
        <v>2.2766685734735719E-3</v>
      </c>
      <c r="H3" s="19"/>
      <c r="I3" s="27">
        <f>IF(E3&lt;&gt;"",E3,"")</f>
        <v>0</v>
      </c>
      <c r="J3" s="20">
        <v>-4.7194490895687349E-4</v>
      </c>
      <c r="K3" s="20">
        <v>-6.3847595395836369E-4</v>
      </c>
      <c r="M3" s="16"/>
      <c r="N3" s="16"/>
    </row>
    <row r="4" spans="1:14" ht="16.2" x14ac:dyDescent="0.3">
      <c r="A4" s="19">
        <v>0.2</v>
      </c>
      <c r="B4" s="20">
        <v>2.2405899993520871E-3</v>
      </c>
      <c r="C4" s="21">
        <v>0.99955198239000442</v>
      </c>
      <c r="D4" s="24"/>
      <c r="E4" s="27">
        <v>0.04</v>
      </c>
      <c r="F4" s="20">
        <v>2.2462342200983533E-3</v>
      </c>
      <c r="G4" s="20">
        <v>2.254460699524269E-3</v>
      </c>
      <c r="H4" s="19"/>
      <c r="I4" s="27">
        <f t="shared" ref="I4:I67" si="0">IF(E4&lt;&gt;"",E4,"")</f>
        <v>0.04</v>
      </c>
      <c r="J4" s="20">
        <v>-3.0530002356521412E-4</v>
      </c>
      <c r="K4" s="20">
        <v>-4.7190743094899207E-4</v>
      </c>
      <c r="M4" s="16"/>
      <c r="N4" s="16"/>
    </row>
    <row r="5" spans="1:14" ht="16.2" x14ac:dyDescent="0.3">
      <c r="A5" s="19">
        <v>0.4</v>
      </c>
      <c r="B5" s="20">
        <v>2.2600996165059663E-3</v>
      </c>
      <c r="C5" s="21">
        <v>0.99909636867430407</v>
      </c>
      <c r="D5" s="24"/>
      <c r="E5" s="27">
        <v>0.08</v>
      </c>
      <c r="F5" s="20">
        <v>2.2340222191557448E-3</v>
      </c>
      <c r="G5" s="20">
        <v>2.2389167951156249E-3</v>
      </c>
      <c r="H5" s="19"/>
      <c r="I5" s="27">
        <f t="shared" si="0"/>
        <v>0.08</v>
      </c>
      <c r="J5" s="20">
        <v>-1.3859513839186008E-4</v>
      </c>
      <c r="K5" s="20">
        <v>-3.0527768431177273E-4</v>
      </c>
      <c r="M5" s="16"/>
      <c r="N5" s="16"/>
    </row>
    <row r="6" spans="1:14" ht="16.2" x14ac:dyDescent="0.3">
      <c r="A6" s="19">
        <v>0.6</v>
      </c>
      <c r="B6" s="20">
        <v>2.3352746547159581E-3</v>
      </c>
      <c r="C6" s="21">
        <v>0.99859981638024353</v>
      </c>
      <c r="D6" s="24"/>
      <c r="E6" s="27">
        <v>0.12</v>
      </c>
      <c r="F6" s="20">
        <v>2.2284784136200704E-3</v>
      </c>
      <c r="G6" s="20">
        <v>2.2300392872635364E-3</v>
      </c>
      <c r="H6" s="19"/>
      <c r="I6" s="27">
        <f t="shared" si="0"/>
        <v>0.12</v>
      </c>
      <c r="J6" s="20">
        <v>2.8169300825937275E-5</v>
      </c>
      <c r="K6" s="20">
        <v>-1.3858773655988437E-4</v>
      </c>
      <c r="M6" s="16"/>
      <c r="N6" s="16"/>
    </row>
    <row r="7" spans="1:14" ht="16.2" x14ac:dyDescent="0.3">
      <c r="A7" s="19">
        <v>0.8</v>
      </c>
      <c r="B7" s="20">
        <v>2.4662024686942464E-3</v>
      </c>
      <c r="C7" s="21">
        <v>0.99802898303516796</v>
      </c>
      <c r="D7" s="24"/>
      <c r="E7" s="27">
        <v>0.16</v>
      </c>
      <c r="F7" s="20">
        <v>2.2296051856531079E-3</v>
      </c>
      <c r="G7" s="20">
        <v>2.2278305709608776E-3</v>
      </c>
      <c r="H7" s="19"/>
      <c r="I7" s="27">
        <f t="shared" si="0"/>
        <v>0.16</v>
      </c>
      <c r="J7" s="20">
        <v>1.9499329315058158E-4</v>
      </c>
      <c r="K7" s="20">
        <v>2.8161833763007362E-5</v>
      </c>
      <c r="M7" s="16"/>
      <c r="N7" s="16"/>
    </row>
    <row r="8" spans="1:14" ht="16.2" x14ac:dyDescent="0.3">
      <c r="A8" s="19">
        <v>1</v>
      </c>
      <c r="B8" s="20">
        <v>2.6529899012343356E-3</v>
      </c>
      <c r="C8" s="21">
        <v>0.99735052616642239</v>
      </c>
      <c r="D8" s="24"/>
      <c r="E8" s="27">
        <v>0.2</v>
      </c>
      <c r="F8" s="20">
        <v>2.2374049173791311E-3</v>
      </c>
      <c r="G8" s="20">
        <v>2.2322930269475434E-3</v>
      </c>
      <c r="H8" s="19"/>
      <c r="I8" s="27">
        <f t="shared" si="0"/>
        <v>0.2</v>
      </c>
      <c r="J8" s="20">
        <v>3.6187728418129441E-4</v>
      </c>
      <c r="K8" s="20">
        <v>1.9497089264463024E-4</v>
      </c>
      <c r="M8" s="16"/>
      <c r="N8" s="16"/>
    </row>
    <row r="9" spans="1:14" ht="16.2" x14ac:dyDescent="0.3">
      <c r="A9" s="19">
        <v>1.2</v>
      </c>
      <c r="B9" s="20">
        <v>2.8957727259406973E-3</v>
      </c>
      <c r="C9" s="21">
        <v>0.99653110330135175</v>
      </c>
      <c r="D9" s="24"/>
      <c r="E9" s="27">
        <v>0.24</v>
      </c>
      <c r="F9" s="20">
        <v>2.2518800087463829E-3</v>
      </c>
      <c r="G9" s="20">
        <v>2.2434290395028449E-3</v>
      </c>
      <c r="H9" s="19"/>
      <c r="I9" s="27">
        <f t="shared" si="0"/>
        <v>0.24</v>
      </c>
      <c r="J9" s="20">
        <v>5.2882216404644394E-4</v>
      </c>
      <c r="K9" s="20">
        <v>3.6183975116086488E-4</v>
      </c>
      <c r="M9" s="16"/>
      <c r="N9" s="16"/>
    </row>
    <row r="10" spans="1:14" ht="16.2" x14ac:dyDescent="0.3">
      <c r="A10" s="19">
        <v>1.4</v>
      </c>
      <c r="B10" s="20">
        <v>3.1947252008365087E-3</v>
      </c>
      <c r="C10" s="21">
        <v>0.99553737196730085</v>
      </c>
      <c r="D10" s="24"/>
      <c r="E10" s="27">
        <v>0.28000000000000003</v>
      </c>
      <c r="F10" s="20">
        <v>2.2730328953082407E-3</v>
      </c>
      <c r="G10" s="20">
        <v>2.2612410142601883E-3</v>
      </c>
      <c r="H10" s="19"/>
      <c r="I10" s="27">
        <f t="shared" si="0"/>
        <v>0.28000000000000003</v>
      </c>
      <c r="J10" s="20">
        <v>6.9582926950208322E-4</v>
      </c>
      <c r="K10" s="20">
        <v>5.2876916603402844E-4</v>
      </c>
      <c r="M10" s="16"/>
      <c r="N10" s="16"/>
    </row>
    <row r="11" spans="1:14" ht="16.2" x14ac:dyDescent="0.3">
      <c r="A11" s="19">
        <v>1.6</v>
      </c>
      <c r="B11" s="20">
        <v>3.5500697764396815E-3</v>
      </c>
      <c r="C11" s="21">
        <v>0.99433598969161485</v>
      </c>
      <c r="D11" s="24"/>
      <c r="E11" s="27">
        <v>0.32</v>
      </c>
      <c r="F11" s="20">
        <v>2.300866066088324E-3</v>
      </c>
      <c r="G11" s="20">
        <v>2.2857313960442218E-3</v>
      </c>
      <c r="H11" s="19"/>
      <c r="I11" s="27">
        <f t="shared" si="0"/>
        <v>0.32</v>
      </c>
      <c r="J11" s="20">
        <v>8.6290038535451023E-4</v>
      </c>
      <c r="K11" s="20">
        <v>6.9576034019934116E-4</v>
      </c>
      <c r="M11" s="16"/>
      <c r="N11" s="16"/>
    </row>
    <row r="12" spans="1:14" ht="16.2" x14ac:dyDescent="0.3">
      <c r="A12" s="19">
        <v>1.8</v>
      </c>
      <c r="B12" s="20">
        <v>3.962087014689834E-3</v>
      </c>
      <c r="C12" s="21">
        <v>0.99289361400163867</v>
      </c>
      <c r="D12" s="24"/>
      <c r="E12" s="27">
        <v>0.36</v>
      </c>
      <c r="F12" s="20">
        <v>2.3353820815025044E-3</v>
      </c>
      <c r="G12" s="20">
        <v>2.3169026867309156E-3</v>
      </c>
      <c r="H12" s="19"/>
      <c r="I12" s="27">
        <f t="shared" si="0"/>
        <v>0.36</v>
      </c>
      <c r="J12" s="20">
        <v>1.0300377428509215E-3</v>
      </c>
      <c r="K12" s="20">
        <v>8.6281492338625932E-4</v>
      </c>
      <c r="M12" s="16"/>
      <c r="N12" s="16"/>
    </row>
    <row r="13" spans="1:14" ht="16.2" x14ac:dyDescent="0.3">
      <c r="A13" s="19">
        <v>2</v>
      </c>
      <c r="B13" s="20">
        <v>4.4311257886083767E-3</v>
      </c>
      <c r="C13" s="21">
        <v>0.99117690242471712</v>
      </c>
      <c r="D13" s="24"/>
      <c r="E13" s="27">
        <v>0.4</v>
      </c>
      <c r="F13" s="20">
        <v>2.3765835912165413E-3</v>
      </c>
      <c r="G13" s="20">
        <v>2.3547574631313092E-3</v>
      </c>
      <c r="H13" s="19"/>
      <c r="I13" s="27">
        <f t="shared" si="0"/>
        <v>0.4</v>
      </c>
      <c r="J13" s="20">
        <v>1.1972440215037667E-3</v>
      </c>
      <c r="K13" s="20">
        <v>1.0299350127213704E-3</v>
      </c>
      <c r="M13" s="16"/>
      <c r="N13" s="16"/>
    </row>
    <row r="14" spans="1:14" ht="16.2" x14ac:dyDescent="0.3">
      <c r="A14" s="19">
        <v>2.2000000000000002</v>
      </c>
      <c r="B14" s="20">
        <v>4.9543525609238442E-3</v>
      </c>
      <c r="C14" s="21">
        <v>0.98915960951429815</v>
      </c>
      <c r="D14" s="24"/>
      <c r="E14" s="27">
        <v>0.44</v>
      </c>
      <c r="F14" s="20">
        <v>2.4244733520766919E-3</v>
      </c>
      <c r="G14" s="20">
        <v>2.3992983948999159E-3</v>
      </c>
      <c r="H14" s="19"/>
      <c r="I14" s="27">
        <f t="shared" si="0"/>
        <v>0.44</v>
      </c>
      <c r="J14" s="20">
        <v>1.364522350883737E-3</v>
      </c>
      <c r="K14" s="20">
        <v>1.197123153359567E-3</v>
      </c>
      <c r="M14" s="16"/>
      <c r="N14" s="16"/>
    </row>
    <row r="15" spans="1:14" ht="16.2" x14ac:dyDescent="0.3">
      <c r="A15" s="19">
        <v>2.4</v>
      </c>
      <c r="B15" s="20">
        <v>5.5180960212571689E-3</v>
      </c>
      <c r="C15" s="21">
        <v>0.98684387792824024</v>
      </c>
      <c r="D15" s="24"/>
      <c r="E15" s="27">
        <v>0.48</v>
      </c>
      <c r="F15" s="20">
        <v>2.4790542461120414E-3</v>
      </c>
      <c r="G15" s="20">
        <v>2.450528262469043E-3</v>
      </c>
      <c r="H15" s="19"/>
      <c r="I15" s="27">
        <f t="shared" si="0"/>
        <v>0.48</v>
      </c>
      <c r="J15" s="20">
        <v>1.5318763094694264E-3</v>
      </c>
      <c r="K15" s="20">
        <v>1.3643823391502408E-3</v>
      </c>
      <c r="M15" s="16"/>
      <c r="N15" s="16"/>
    </row>
    <row r="16" spans="1:14" ht="16.2" x14ac:dyDescent="0.3">
      <c r="A16" s="19">
        <v>2.6</v>
      </c>
      <c r="B16" s="20">
        <v>6.1102225906491123E-3</v>
      </c>
      <c r="C16" s="21">
        <v>0.98423894735050488</v>
      </c>
      <c r="D16" s="24"/>
      <c r="E16" s="27">
        <v>0.52</v>
      </c>
      <c r="F16" s="20">
        <v>2.5403292984908185E-3</v>
      </c>
      <c r="G16" s="20">
        <v>2.5084499750105912E-3</v>
      </c>
      <c r="H16" s="19"/>
      <c r="I16" s="27">
        <f t="shared" si="0"/>
        <v>0.52</v>
      </c>
      <c r="J16" s="20">
        <v>1.6993099257025862E-3</v>
      </c>
      <c r="K16" s="20">
        <v>1.5317160133452546E-3</v>
      </c>
      <c r="M16" s="16"/>
      <c r="N16" s="16"/>
    </row>
    <row r="17" spans="1:14" ht="16.2" x14ac:dyDescent="0.3">
      <c r="A17" s="19">
        <v>2.8</v>
      </c>
      <c r="B17" s="20">
        <v>6.72213202990054E-3</v>
      </c>
      <c r="C17" s="21">
        <v>0.98135405746505344</v>
      </c>
      <c r="D17" s="24"/>
      <c r="E17" s="27">
        <v>0.56000000000000005</v>
      </c>
      <c r="F17" s="20">
        <v>2.6083016955189219E-3</v>
      </c>
      <c r="G17" s="20">
        <v>2.5730665884271045E-3</v>
      </c>
      <c r="H17" s="19"/>
      <c r="I17" s="27">
        <f t="shared" si="0"/>
        <v>0.56000000000000005</v>
      </c>
      <c r="J17" s="20">
        <v>1.8668276803509047E-3</v>
      </c>
      <c r="K17" s="20">
        <v>1.6991280693554774E-3</v>
      </c>
      <c r="M17" s="16"/>
      <c r="N17" s="16"/>
    </row>
    <row r="18" spans="1:14" ht="16.2" x14ac:dyDescent="0.3">
      <c r="A18" s="19">
        <v>3</v>
      </c>
      <c r="B18" s="20">
        <v>7.3475725036285001E-3</v>
      </c>
      <c r="C18" s="21">
        <v>0.97819844795584732</v>
      </c>
      <c r="D18" s="24"/>
      <c r="E18" s="27">
        <v>0.6</v>
      </c>
      <c r="F18" s="20">
        <v>2.6829748027329581E-3</v>
      </c>
      <c r="G18" s="20">
        <v>2.6443813233741733E-3</v>
      </c>
      <c r="H18" s="19"/>
      <c r="I18" s="27">
        <f t="shared" si="0"/>
        <v>0.6</v>
      </c>
      <c r="J18" s="20">
        <v>2.0344345056704286E-3</v>
      </c>
      <c r="K18" s="20">
        <v>1.8666228515626887E-3</v>
      </c>
      <c r="M18" s="16"/>
      <c r="N18" s="16"/>
    </row>
    <row r="19" spans="1:14" ht="16.2" x14ac:dyDescent="0.3">
      <c r="A19" s="19">
        <v>3.2</v>
      </c>
      <c r="B19" s="20">
        <v>7.9819002552643185E-3</v>
      </c>
      <c r="C19" s="21">
        <v>0.97478135850684788</v>
      </c>
      <c r="D19" s="24"/>
      <c r="E19" s="27">
        <v>0.64</v>
      </c>
      <c r="F19" s="20">
        <v>2.7643521829597752E-3</v>
      </c>
      <c r="G19" s="20">
        <v>2.7223975833165354E-3</v>
      </c>
      <c r="H19" s="19"/>
      <c r="I19" s="27">
        <f t="shared" si="0"/>
        <v>0.64</v>
      </c>
      <c r="J19" s="20">
        <v>2.2021357874197397E-3</v>
      </c>
      <c r="K19" s="20">
        <v>2.0342051561936972E-3</v>
      </c>
      <c r="M19" s="16"/>
      <c r="N19" s="16"/>
    </row>
    <row r="20" spans="1:14" ht="16.2" x14ac:dyDescent="0.3">
      <c r="A20" s="19">
        <v>3.4</v>
      </c>
      <c r="B20" s="20">
        <v>8.6216007878196516E-3</v>
      </c>
      <c r="C20" s="21">
        <v>0.97111202880201664</v>
      </c>
      <c r="D20" s="24"/>
      <c r="E20" s="27">
        <v>0.68</v>
      </c>
      <c r="F20" s="20">
        <v>2.8524376144565648E-3</v>
      </c>
      <c r="G20" s="20">
        <v>2.8071189726204993E-3</v>
      </c>
      <c r="H20" s="19"/>
      <c r="I20" s="27">
        <f t="shared" si="0"/>
        <v>0.68</v>
      </c>
      <c r="J20" s="20">
        <v>2.3699373653528872E-3</v>
      </c>
      <c r="K20" s="20">
        <v>2.2018802322635311E-3</v>
      </c>
      <c r="M20" s="16"/>
      <c r="N20" s="16"/>
    </row>
    <row r="21" spans="1:14" ht="16.2" x14ac:dyDescent="0.3">
      <c r="A21" s="19">
        <v>3.6</v>
      </c>
      <c r="B21" s="20">
        <v>9.2639698277763322E-3</v>
      </c>
      <c r="C21" s="21">
        <v>0.96719969852531518</v>
      </c>
      <c r="D21" s="24"/>
      <c r="E21" s="27">
        <v>0.72</v>
      </c>
      <c r="F21" s="20">
        <v>2.9472351090706803E-3</v>
      </c>
      <c r="G21" s="20">
        <v>2.8985493146855904E-3</v>
      </c>
      <c r="H21" s="19"/>
      <c r="I21" s="27">
        <f t="shared" si="0"/>
        <v>0.72</v>
      </c>
      <c r="J21" s="20">
        <v>2.5378455347029234E-3</v>
      </c>
      <c r="K21" s="20">
        <v>2.3696537825946109E-3</v>
      </c>
      <c r="M21" s="16"/>
      <c r="N21" s="16"/>
    </row>
    <row r="22" spans="1:14" ht="16.2" x14ac:dyDescent="0.3">
      <c r="A22" s="19">
        <v>3.8</v>
      </c>
      <c r="B22" s="20">
        <v>9.9068951821404388E-3</v>
      </c>
      <c r="C22" s="21">
        <v>0.96305360736070456</v>
      </c>
      <c r="D22" s="24"/>
      <c r="E22" s="27">
        <v>0.76</v>
      </c>
      <c r="F22" s="20">
        <v>3.0487489304587972E-3</v>
      </c>
      <c r="G22" s="20">
        <v>2.996692670118603E-3</v>
      </c>
      <c r="H22" s="19"/>
      <c r="I22" s="27">
        <f t="shared" si="0"/>
        <v>0.76</v>
      </c>
      <c r="J22" s="20">
        <v>2.7058670469227064E-3</v>
      </c>
      <c r="K22" s="20">
        <v>2.5375319649188423E-3</v>
      </c>
      <c r="M22" s="16"/>
      <c r="N22" s="16"/>
    </row>
    <row r="23" spans="1:14" ht="16.2" x14ac:dyDescent="0.3">
      <c r="A23" s="19">
        <v>4</v>
      </c>
      <c r="B23" s="20">
        <v>1.0548704156492946E-2</v>
      </c>
      <c r="C23" s="21">
        <v>0.95868299499214615</v>
      </c>
      <c r="D23" s="24"/>
      <c r="E23" s="27">
        <v>0.8</v>
      </c>
      <c r="F23" s="20">
        <v>3.1569836123357055E-3</v>
      </c>
      <c r="G23" s="20">
        <v>3.1015533549535062E-3</v>
      </c>
      <c r="H23" s="19"/>
      <c r="I23" s="27">
        <f t="shared" si="0"/>
        <v>0.8</v>
      </c>
      <c r="J23" s="20">
        <v>2.8740091119858701E-3</v>
      </c>
      <c r="K23" s="20">
        <v>2.7055213930695979E-3</v>
      </c>
      <c r="M23" s="16"/>
      <c r="N23" s="16"/>
    </row>
    <row r="24" spans="1:14" ht="16.2" x14ac:dyDescent="0.3">
      <c r="A24" s="19">
        <v>4.2</v>
      </c>
      <c r="B24" s="20">
        <v>1.1188054663318216E-2</v>
      </c>
      <c r="C24" s="21">
        <v>0.95409710110360169</v>
      </c>
      <c r="D24" s="24"/>
      <c r="E24" s="27">
        <v>0.84</v>
      </c>
      <c r="F24" s="20">
        <v>3.2719439768151403E-3</v>
      </c>
      <c r="G24" s="20">
        <v>3.2131359589209433E-3</v>
      </c>
      <c r="H24" s="19"/>
      <c r="I24" s="27">
        <f t="shared" si="0"/>
        <v>0.84</v>
      </c>
      <c r="J24" s="20">
        <v>3.0422793987780364E-3</v>
      </c>
      <c r="K24" s="20">
        <v>2.8736291382706241E-3</v>
      </c>
      <c r="M24" s="16"/>
      <c r="N24" s="16"/>
    </row>
    <row r="25" spans="1:14" ht="16.2" x14ac:dyDescent="0.3">
      <c r="A25" s="19">
        <v>4.4000000000000004</v>
      </c>
      <c r="B25" s="20">
        <v>1.1823856104263347E-2</v>
      </c>
      <c r="C25" s="21">
        <v>0.94930516537903231</v>
      </c>
      <c r="D25" s="24"/>
      <c r="E25" s="27">
        <v>0.88</v>
      </c>
      <c r="F25" s="20">
        <v>3.3936351527662618E-3</v>
      </c>
      <c r="G25" s="20">
        <v>3.331445363771353E-3</v>
      </c>
      <c r="H25" s="19"/>
      <c r="I25" s="27">
        <f t="shared" si="0"/>
        <v>0.88</v>
      </c>
      <c r="J25" s="20">
        <v>3.2106860369923804E-3</v>
      </c>
      <c r="K25" s="20">
        <v>3.0418627305289401E-3</v>
      </c>
      <c r="M25" s="16"/>
      <c r="N25" s="16"/>
    </row>
    <row r="26" spans="1:14" ht="16.2" x14ac:dyDescent="0.3">
      <c r="A26" s="19">
        <v>4.5999999999999996</v>
      </c>
      <c r="B26" s="20">
        <v>1.245521095167855E-2</v>
      </c>
      <c r="C26" s="21">
        <v>0.94431642750239964</v>
      </c>
      <c r="D26" s="24"/>
      <c r="E26" s="27">
        <v>0.92</v>
      </c>
      <c r="F26" s="20">
        <v>3.522062594245957E-3</v>
      </c>
      <c r="G26" s="20">
        <v>3.456486761655993E-3</v>
      </c>
      <c r="H26" s="19"/>
      <c r="I26" s="27">
        <f t="shared" si="0"/>
        <v>0.92</v>
      </c>
      <c r="J26" s="20">
        <v>3.3792376189372775E-3</v>
      </c>
      <c r="K26" s="20">
        <v>3.2102301601388459E-3</v>
      </c>
      <c r="M26" s="16"/>
      <c r="N26" s="16"/>
    </row>
    <row r="27" spans="1:14" ht="16.2" x14ac:dyDescent="0.3">
      <c r="A27" s="19">
        <v>4.8</v>
      </c>
      <c r="B27" s="20">
        <v>1.3081370980778462E-2</v>
      </c>
      <c r="C27" s="21">
        <v>0.93914012715766493</v>
      </c>
      <c r="D27" s="24"/>
      <c r="E27" s="27">
        <v>0.96</v>
      </c>
      <c r="F27" s="20">
        <v>3.6572320990034481E-3</v>
      </c>
      <c r="G27" s="20">
        <v>3.5882656735704713E-3</v>
      </c>
      <c r="H27" s="19"/>
      <c r="I27" s="27">
        <f t="shared" si="0"/>
        <v>0.96</v>
      </c>
      <c r="J27" s="20">
        <v>3.5479432016822425E-3</v>
      </c>
      <c r="K27" s="20">
        <v>3.3787398793042318E-3</v>
      </c>
      <c r="M27" s="16"/>
      <c r="N27" s="16"/>
    </row>
    <row r="28" spans="1:14" ht="16.2" x14ac:dyDescent="0.3">
      <c r="A28" s="19">
        <v>5</v>
      </c>
      <c r="B28" s="20">
        <v>1.370170404034016E-2</v>
      </c>
      <c r="C28" s="21">
        <v>0.93378550402878957</v>
      </c>
      <c r="D28" s="24"/>
      <c r="E28" s="27">
        <v>1</v>
      </c>
      <c r="F28" s="20">
        <v>3.7991498270707378E-3</v>
      </c>
      <c r="G28" s="20">
        <v>3.7267879678656579E-3</v>
      </c>
      <c r="H28" s="19"/>
      <c r="I28" s="27">
        <f t="shared" si="0"/>
        <v>1</v>
      </c>
      <c r="J28" s="20">
        <v>3.7168123078072332E-3</v>
      </c>
      <c r="K28" s="20">
        <v>3.5474008038864323E-3</v>
      </c>
      <c r="M28" s="16"/>
      <c r="N28" s="16"/>
    </row>
    <row r="29" spans="1:14" ht="16.2" x14ac:dyDescent="0.3">
      <c r="A29" s="19">
        <v>5.5</v>
      </c>
      <c r="B29" s="20">
        <v>1.5223659414863531E-2</v>
      </c>
      <c r="C29" s="21">
        <v>0.91967941945198295</v>
      </c>
      <c r="D29" s="24"/>
      <c r="E29" s="27">
        <v>1.04</v>
      </c>
      <c r="F29" s="20">
        <v>3.9478223193830271E-3</v>
      </c>
      <c r="G29" s="20">
        <v>3.8720598788311413E-3</v>
      </c>
      <c r="H29" s="19"/>
      <c r="I29" s="27">
        <f t="shared" si="0"/>
        <v>1.04</v>
      </c>
      <c r="J29" s="20">
        <v>3.8858549292187594E-3</v>
      </c>
      <c r="K29" s="20">
        <v>3.7162223152849313E-3</v>
      </c>
      <c r="M29" s="16"/>
      <c r="N29" s="16"/>
    </row>
    <row r="30" spans="1:14" ht="16.2" x14ac:dyDescent="0.3">
      <c r="A30" s="19">
        <v>6</v>
      </c>
      <c r="B30" s="20">
        <v>1.6699177053724118E-2</v>
      </c>
      <c r="C30" s="21">
        <v>0.90466093556095339</v>
      </c>
      <c r="D30" s="24"/>
      <c r="E30" s="27">
        <v>1.08</v>
      </c>
      <c r="F30" s="20">
        <v>4.1032565165517775E-3</v>
      </c>
      <c r="G30" s="20">
        <v>4.024088025356691E-3</v>
      </c>
      <c r="H30" s="19"/>
      <c r="I30" s="27">
        <f t="shared" si="0"/>
        <v>1.08</v>
      </c>
      <c r="J30" s="20">
        <v>4.0550815272187308E-3</v>
      </c>
      <c r="K30" s="20">
        <v>3.8852142624583147E-3</v>
      </c>
      <c r="M30" s="16"/>
      <c r="N30" s="16"/>
    </row>
    <row r="31" spans="1:14" ht="16.2" x14ac:dyDescent="0.3">
      <c r="A31" s="19">
        <v>6.5</v>
      </c>
      <c r="B31" s="20">
        <v>1.8122970856772527E-2</v>
      </c>
      <c r="C31" s="21">
        <v>0.88887442241759795</v>
      </c>
      <c r="D31" s="24"/>
      <c r="E31" s="27">
        <v>1.1200000000000001</v>
      </c>
      <c r="F31" s="20">
        <v>4.2654597776405267E-3</v>
      </c>
      <c r="G31" s="20">
        <v>4.1828794296774963E-3</v>
      </c>
      <c r="H31" s="19"/>
      <c r="I31" s="27">
        <f t="shared" si="0"/>
        <v>1.1200000000000001</v>
      </c>
      <c r="J31" s="20">
        <v>4.2245030369076177E-3</v>
      </c>
      <c r="K31" s="20">
        <v>4.054386964092941E-3</v>
      </c>
      <c r="M31" s="16"/>
      <c r="N31" s="16"/>
    </row>
    <row r="32" spans="1:14" ht="16.2" x14ac:dyDescent="0.3">
      <c r="A32" s="19">
        <v>7</v>
      </c>
      <c r="B32" s="20">
        <v>1.9490514265855689E-2</v>
      </c>
      <c r="C32" s="21">
        <v>0.87246425008381356</v>
      </c>
      <c r="D32" s="24"/>
      <c r="E32" s="27">
        <v>1.1599999999999999</v>
      </c>
      <c r="F32" s="20">
        <v>4.4344398991168314E-3</v>
      </c>
      <c r="G32" s="20">
        <v>4.3484415362092192E-3</v>
      </c>
      <c r="H32" s="19"/>
      <c r="I32" s="27">
        <f t="shared" si="0"/>
        <v>1.1599999999999999</v>
      </c>
      <c r="J32" s="20">
        <v>4.3941308688998006E-3</v>
      </c>
      <c r="K32" s="20">
        <v>4.2237512109268684E-3</v>
      </c>
      <c r="M32" s="16"/>
      <c r="N32" s="16"/>
    </row>
    <row r="33" spans="1:14" ht="16.2" x14ac:dyDescent="0.3">
      <c r="A33" s="19">
        <v>7.5</v>
      </c>
      <c r="B33" s="20">
        <v>2.0797569136308338E-2</v>
      </c>
      <c r="C33" s="21">
        <v>0.85557478862149716</v>
      </c>
      <c r="D33" s="24"/>
      <c r="E33" s="27">
        <v>1.2</v>
      </c>
      <c r="F33" s="20">
        <v>4.6102051338728234E-3</v>
      </c>
      <c r="G33" s="20">
        <v>4.5207822304792469E-3</v>
      </c>
      <c r="H33" s="19"/>
      <c r="I33" s="27">
        <f t="shared" si="0"/>
        <v>1.2</v>
      </c>
      <c r="J33" s="20">
        <v>4.5639769118390816E-3</v>
      </c>
      <c r="K33" s="20">
        <v>4.3933182682367195E-3</v>
      </c>
      <c r="M33" s="16"/>
      <c r="N33" s="16"/>
    </row>
    <row r="34" spans="1:14" ht="16.2" x14ac:dyDescent="0.3">
      <c r="A34" s="19">
        <v>8</v>
      </c>
      <c r="B34" s="20">
        <v>2.2039889727225394E-2</v>
      </c>
      <c r="C34" s="21">
        <v>0.8383504080925458</v>
      </c>
      <c r="D34" s="24"/>
      <c r="E34" s="27">
        <v>1.24</v>
      </c>
      <c r="F34" s="20">
        <v>4.7927642103463867E-3</v>
      </c>
      <c r="G34" s="20">
        <v>4.6999098581608015E-3</v>
      </c>
      <c r="H34" s="19"/>
      <c r="I34" s="27">
        <f t="shared" si="0"/>
        <v>1.24</v>
      </c>
      <c r="J34" s="20">
        <v>4.7340535350252075E-3</v>
      </c>
      <c r="K34" s="20">
        <v>4.5630998784952021E-3</v>
      </c>
      <c r="M34" s="16"/>
      <c r="N34" s="16"/>
    </row>
    <row r="35" spans="1:14" ht="16.2" x14ac:dyDescent="0.3">
      <c r="A35" s="19">
        <v>8.5</v>
      </c>
      <c r="B35" s="20">
        <v>2.3213030760263702E-2</v>
      </c>
      <c r="C35" s="21">
        <v>0.82093547855885629</v>
      </c>
      <c r="D35" s="24"/>
      <c r="E35" s="27">
        <v>1.28</v>
      </c>
      <c r="F35" s="20">
        <v>4.982126351747395E-3</v>
      </c>
      <c r="G35" s="20">
        <v>4.8858332442168959E-3</v>
      </c>
      <c r="H35" s="19"/>
      <c r="I35" s="27">
        <f t="shared" si="0"/>
        <v>1.28</v>
      </c>
      <c r="J35" s="20">
        <v>4.9043735931117178E-3</v>
      </c>
      <c r="K35" s="20">
        <v>4.7331082642071733E-3</v>
      </c>
      <c r="M35" s="16"/>
      <c r="N35" s="16"/>
    </row>
    <row r="36" spans="1:14" ht="16.2" x14ac:dyDescent="0.3">
      <c r="A36" s="19">
        <v>9</v>
      </c>
      <c r="B36" s="20">
        <v>2.4312221350815757E-2</v>
      </c>
      <c r="C36" s="21">
        <v>0.80347437008232592</v>
      </c>
      <c r="D36" s="24"/>
      <c r="E36" s="27">
        <v>1.32</v>
      </c>
      <c r="F36" s="20">
        <v>5.1783012954718637E-3</v>
      </c>
      <c r="G36" s="20">
        <v>5.0785617121614397E-3</v>
      </c>
      <c r="H36" s="19"/>
      <c r="I36" s="27">
        <f t="shared" si="0"/>
        <v>1.32</v>
      </c>
      <c r="J36" s="20">
        <v>5.0749504273788198E-3</v>
      </c>
      <c r="K36" s="20">
        <v>4.9033561309322097E-3</v>
      </c>
      <c r="M36" s="16"/>
      <c r="N36" s="16"/>
    </row>
    <row r="37" spans="1:14" ht="16.2" x14ac:dyDescent="0.3">
      <c r="A37" s="19">
        <v>9.5</v>
      </c>
      <c r="B37" s="20">
        <v>2.5332284131090926E-2</v>
      </c>
      <c r="C37" s="21">
        <v>0.78611145272485161</v>
      </c>
      <c r="D37" s="24"/>
      <c r="E37" s="27">
        <v>1.36</v>
      </c>
      <c r="F37" s="20">
        <v>5.3812993125670165E-3</v>
      </c>
      <c r="G37" s="20">
        <v>5.278105103445104E-3</v>
      </c>
      <c r="H37" s="19"/>
      <c r="I37" s="27">
        <f t="shared" si="0"/>
        <v>1.36</v>
      </c>
      <c r="J37" s="20">
        <v>5.2457978702075874E-3</v>
      </c>
      <c r="K37" s="20">
        <v>5.0738566705017963E-3</v>
      </c>
      <c r="M37" s="16"/>
      <c r="N37" s="16"/>
    </row>
    <row r="38" spans="1:14" ht="16.2" x14ac:dyDescent="0.3">
      <c r="A38" s="19">
        <v>10</v>
      </c>
      <c r="B38" s="20">
        <v>2.6267588750407724E-2</v>
      </c>
      <c r="C38" s="21">
        <v>0.76899109654833009</v>
      </c>
      <c r="D38" s="24"/>
      <c r="E38" s="27">
        <v>1.4</v>
      </c>
      <c r="F38" s="20">
        <v>5.59113122737532E-3</v>
      </c>
      <c r="G38" s="20">
        <v>5.4844737969739132E-3</v>
      </c>
      <c r="H38" s="19"/>
      <c r="I38" s="27">
        <f t="shared" si="0"/>
        <v>1.4</v>
      </c>
      <c r="J38" s="20">
        <v>5.4169302492816131E-3</v>
      </c>
      <c r="K38" s="20">
        <v>5.2446235644393741E-3</v>
      </c>
      <c r="M38" s="16"/>
      <c r="N38" s="16"/>
    </row>
    <row r="39" spans="1:14" ht="16.2" x14ac:dyDescent="0.3">
      <c r="A39" s="19">
        <v>11</v>
      </c>
      <c r="B39" s="20">
        <v>2.7884343826814064E-2</v>
      </c>
      <c r="C39" s="21">
        <v>0.73585088543195765</v>
      </c>
      <c r="D39" s="24"/>
      <c r="E39" s="27">
        <v>1.44</v>
      </c>
      <c r="F39" s="20">
        <v>5.8078084373465845E-3</v>
      </c>
      <c r="G39" s="20">
        <v>5.6976787287688286E-3</v>
      </c>
      <c r="H39" s="19"/>
      <c r="I39" s="27">
        <f t="shared" si="0"/>
        <v>1.44</v>
      </c>
      <c r="J39" s="20">
        <v>5.5883623905482026E-3</v>
      </c>
      <c r="K39" s="20">
        <v>5.415670987591624E-3</v>
      </c>
      <c r="M39" s="16"/>
      <c r="N39" s="16"/>
    </row>
    <row r="40" spans="1:14" ht="16.2" x14ac:dyDescent="0.3">
      <c r="A40" s="19">
        <v>12</v>
      </c>
      <c r="B40" s="20">
        <v>2.9226135607604134E-2</v>
      </c>
      <c r="C40" s="21">
        <v>0.70418538445950196</v>
      </c>
      <c r="D40" s="24"/>
      <c r="E40" s="27">
        <v>1.48</v>
      </c>
      <c r="F40" s="20">
        <v>6.0313429329685126E-3</v>
      </c>
      <c r="G40" s="20">
        <v>5.9177314117749508E-3</v>
      </c>
      <c r="H40" s="19"/>
      <c r="I40" s="27">
        <f t="shared" si="0"/>
        <v>1.48</v>
      </c>
      <c r="J40" s="20">
        <v>5.760109622665187E-3</v>
      </c>
      <c r="K40" s="20">
        <v>5.587013611979527E-3</v>
      </c>
      <c r="M40" s="16"/>
      <c r="N40" s="16"/>
    </row>
    <row r="41" spans="1:14" ht="16.2" x14ac:dyDescent="0.3">
      <c r="A41" s="19">
        <v>13</v>
      </c>
      <c r="B41" s="20">
        <v>3.0357040520219938E-2</v>
      </c>
      <c r="C41" s="21">
        <v>0.6739215788034808</v>
      </c>
      <c r="D41" s="24"/>
      <c r="E41" s="27">
        <v>1.52</v>
      </c>
      <c r="F41" s="20">
        <v>6.2617473178751201E-3</v>
      </c>
      <c r="G41" s="20">
        <v>6.1446439558293115E-3</v>
      </c>
      <c r="H41" s="19"/>
      <c r="I41" s="27">
        <f t="shared" si="0"/>
        <v>1.52</v>
      </c>
      <c r="J41" s="20">
        <v>5.9321877819685847E-3</v>
      </c>
      <c r="K41" s="20">
        <v>5.7586666108779159E-3</v>
      </c>
      <c r="M41" s="16"/>
      <c r="N41" s="16"/>
    </row>
    <row r="42" spans="1:14" ht="16.2" x14ac:dyDescent="0.3">
      <c r="A42" s="19">
        <v>14</v>
      </c>
      <c r="B42" s="20">
        <v>3.1323283180071597E-2</v>
      </c>
      <c r="C42" s="21">
        <v>0.64498645363641172</v>
      </c>
      <c r="D42" s="24"/>
      <c r="E42" s="27">
        <v>1.56</v>
      </c>
      <c r="F42" s="20">
        <v>6.4990348291538635E-3</v>
      </c>
      <c r="G42" s="20">
        <v>6.3784290877965527E-3</v>
      </c>
      <c r="H42" s="19"/>
      <c r="I42" s="27">
        <f t="shared" si="0"/>
        <v>1.56</v>
      </c>
      <c r="J42" s="20">
        <v>6.1046132164343852E-3</v>
      </c>
      <c r="K42" s="20">
        <v>5.9306456631323719E-3</v>
      </c>
      <c r="M42" s="16"/>
      <c r="N42" s="16"/>
    </row>
    <row r="43" spans="1:14" ht="16.2" x14ac:dyDescent="0.3">
      <c r="A43" s="19">
        <v>15</v>
      </c>
      <c r="B43" s="20">
        <v>3.215925462994286E-2</v>
      </c>
      <c r="C43" s="21">
        <v>0.61730699413081191</v>
      </c>
      <c r="D43" s="24"/>
      <c r="E43" s="27">
        <v>1.6</v>
      </c>
      <c r="F43" s="20">
        <v>6.7432193578112389E-3</v>
      </c>
      <c r="G43" s="20">
        <v>6.6191001718821918E-3</v>
      </c>
      <c r="H43" s="19"/>
      <c r="I43" s="27">
        <f t="shared" si="0"/>
        <v>1.6</v>
      </c>
      <c r="J43" s="20">
        <v>6.2774027908065648E-3</v>
      </c>
      <c r="K43" s="20">
        <v>6.1029669577225597E-3</v>
      </c>
      <c r="M43" s="16"/>
      <c r="N43" s="16"/>
    </row>
    <row r="44" spans="1:14" ht="16.2" x14ac:dyDescent="0.3">
      <c r="A44" s="19">
        <v>16</v>
      </c>
      <c r="B44" s="20">
        <v>3.2891280522486195E-2</v>
      </c>
      <c r="C44" s="21">
        <v>0.59081018545919894</v>
      </c>
      <c r="D44" s="24"/>
      <c r="E44" s="27">
        <v>1.64</v>
      </c>
      <c r="F44" s="20">
        <v>6.9943154694435015E-3</v>
      </c>
      <c r="G44" s="20">
        <v>6.8666712301334908E-3</v>
      </c>
      <c r="H44" s="19"/>
      <c r="I44" s="27">
        <f t="shared" si="0"/>
        <v>1.64</v>
      </c>
      <c r="J44" s="20">
        <v>6.4505738924129207E-3</v>
      </c>
      <c r="K44" s="20">
        <v>6.2756471985812336E-3</v>
      </c>
      <c r="M44" s="16"/>
      <c r="N44" s="16"/>
    </row>
    <row r="45" spans="1:14" ht="16.2" x14ac:dyDescent="0.3">
      <c r="A45" s="19">
        <v>17</v>
      </c>
      <c r="B45" s="20">
        <v>3.3540066632786067E-2</v>
      </c>
      <c r="C45" s="21">
        <v>0.5654230127940898</v>
      </c>
      <c r="D45" s="24"/>
      <c r="E45" s="27">
        <v>1.68</v>
      </c>
      <c r="F45" s="20">
        <v>7.2523384251400183E-3</v>
      </c>
      <c r="G45" s="20">
        <v>7.1211569631383746E-3</v>
      </c>
      <c r="H45" s="19"/>
      <c r="I45" s="27">
        <f t="shared" si="0"/>
        <v>1.68</v>
      </c>
      <c r="J45" s="20">
        <v>6.6241444352347321E-3</v>
      </c>
      <c r="K45" s="20">
        <v>6.4487036096784224E-3</v>
      </c>
      <c r="M45" s="16"/>
      <c r="N45" s="16"/>
    </row>
    <row r="46" spans="1:14" ht="16.2" x14ac:dyDescent="0.3">
      <c r="A46" s="19">
        <v>18</v>
      </c>
      <c r="B46" s="20">
        <v>3.4122337196310575E-2</v>
      </c>
      <c r="C46" s="21">
        <v>0.54107246130800224</v>
      </c>
      <c r="D46" s="24"/>
      <c r="E46" s="27">
        <v>1.72</v>
      </c>
      <c r="F46" s="20">
        <v>7.5173042025494076E-3</v>
      </c>
      <c r="G46" s="20">
        <v>7.3825727709331589E-3</v>
      </c>
      <c r="H46" s="19"/>
      <c r="I46" s="27">
        <f t="shared" si="0"/>
        <v>1.72</v>
      </c>
      <c r="J46" s="20">
        <v>6.798132866918773E-3</v>
      </c>
      <c r="K46" s="20">
        <v>6.6221539403804562E-3</v>
      </c>
      <c r="M46" s="16"/>
      <c r="N46" s="16"/>
    </row>
    <row r="47" spans="1:14" ht="16.2" x14ac:dyDescent="0.3">
      <c r="A47" s="19">
        <v>19</v>
      </c>
      <c r="B47" s="20">
        <v>3.4651964880200371E-2</v>
      </c>
      <c r="C47" s="21">
        <v>0.51768551617345326</v>
      </c>
      <c r="D47" s="24"/>
      <c r="E47" s="27">
        <v>1.76</v>
      </c>
      <c r="F47" s="20">
        <v>7.7892295172261585E-3</v>
      </c>
      <c r="G47" s="20">
        <v>7.6509347741303205E-3</v>
      </c>
      <c r="H47" s="19"/>
      <c r="I47" s="27">
        <f t="shared" si="0"/>
        <v>1.76</v>
      </c>
      <c r="J47" s="20">
        <v>6.9725581746917431E-3</v>
      </c>
      <c r="K47" s="20">
        <v>6.7960164710937935E-3</v>
      </c>
      <c r="M47" s="16"/>
      <c r="N47" s="16"/>
    </row>
    <row r="48" spans="1:14" ht="16.2" x14ac:dyDescent="0.3">
      <c r="A48" s="19">
        <v>20</v>
      </c>
      <c r="B48" s="20">
        <v>3.5140772141050915E-2</v>
      </c>
      <c r="C48" s="21">
        <v>0.49518916256296092</v>
      </c>
      <c r="D48" s="24"/>
      <c r="E48" s="27">
        <v>1.8</v>
      </c>
      <c r="F48" s="20">
        <v>8.0681318442138283E-3</v>
      </c>
      <c r="G48" s="20">
        <v>7.9262598352778709E-3</v>
      </c>
      <c r="H48" s="19"/>
      <c r="I48" s="27">
        <f t="shared" si="0"/>
        <v>1.8</v>
      </c>
      <c r="J48" s="20">
        <v>7.1474398912348656E-3</v>
      </c>
      <c r="K48" s="20">
        <v>6.9703100192038256E-3</v>
      </c>
      <c r="M48" s="16"/>
      <c r="N48" s="16"/>
    </row>
    <row r="49" spans="1:14" ht="16.2" x14ac:dyDescent="0.3">
      <c r="A49" s="19">
        <v>21</v>
      </c>
      <c r="B49" s="20">
        <v>3.5599115847983254E-2</v>
      </c>
      <c r="C49" s="21">
        <v>0.47351038564904313</v>
      </c>
      <c r="D49" s="24"/>
      <c r="E49" s="27">
        <v>1.84</v>
      </c>
      <c r="F49" s="20">
        <v>8.3540294398632229E-3</v>
      </c>
      <c r="G49" s="20">
        <v>8.2085655804623667E-3</v>
      </c>
      <c r="H49" s="19"/>
      <c r="I49" s="27">
        <f t="shared" si="0"/>
        <v>1.84</v>
      </c>
      <c r="J49" s="20">
        <v>7.3227981008080253E-3</v>
      </c>
      <c r="K49" s="20">
        <v>7.1450539453191079E-3</v>
      </c>
      <c r="M49" s="16"/>
      <c r="N49" s="16"/>
    </row>
    <row r="50" spans="1:14" ht="16.2" x14ac:dyDescent="0.3">
      <c r="A50" s="19">
        <v>22</v>
      </c>
      <c r="B50" s="20">
        <v>3.6036327144615452E-2</v>
      </c>
      <c r="C50" s="21">
        <v>0.45257617060421612</v>
      </c>
      <c r="D50" s="24"/>
      <c r="E50" s="27">
        <v>1.88</v>
      </c>
      <c r="F50" s="20">
        <v>8.6469413638955439E-3</v>
      </c>
      <c r="G50" s="20">
        <v>8.4978704211679731E-3</v>
      </c>
      <c r="H50" s="19"/>
      <c r="I50" s="27">
        <f t="shared" si="0"/>
        <v>1.88</v>
      </c>
      <c r="J50" s="20">
        <v>7.4986534485025225E-3</v>
      </c>
      <c r="K50" s="20">
        <v>7.3202681598317559E-3</v>
      </c>
      <c r="M50" s="16"/>
      <c r="N50" s="16"/>
    </row>
    <row r="51" spans="1:14" ht="16.2" x14ac:dyDescent="0.3">
      <c r="A51" s="19">
        <v>23</v>
      </c>
      <c r="B51" s="20">
        <v>3.6461054498522244E-2</v>
      </c>
      <c r="C51" s="21">
        <v>0.43231350260099771</v>
      </c>
      <c r="D51" s="24"/>
      <c r="E51" s="27">
        <v>1.92</v>
      </c>
      <c r="F51" s="20">
        <v>8.9468875018356448E-3</v>
      </c>
      <c r="G51" s="20">
        <v>8.7941935764044472E-3</v>
      </c>
      <c r="H51" s="19"/>
      <c r="I51" s="27">
        <f t="shared" si="0"/>
        <v>1.92</v>
      </c>
      <c r="J51" s="20">
        <v>7.6750271452235685E-3</v>
      </c>
      <c r="K51" s="20">
        <v>7.4959731298050343E-3</v>
      </c>
      <c r="M51" s="16"/>
      <c r="N51" s="16"/>
    </row>
    <row r="52" spans="1:14" ht="16.2" x14ac:dyDescent="0.3">
      <c r="A52" s="19">
        <v>24</v>
      </c>
      <c r="B52" s="20">
        <v>3.6881543224503786E-2</v>
      </c>
      <c r="C52" s="21">
        <v>0.41264936681190223</v>
      </c>
      <c r="D52" s="24"/>
      <c r="E52" s="27">
        <v>1.96</v>
      </c>
      <c r="F52" s="20">
        <v>9.2538885876445875E-3</v>
      </c>
      <c r="G52" s="20">
        <v>9.0975550951173552E-3</v>
      </c>
      <c r="H52" s="19"/>
      <c r="I52" s="27">
        <f t="shared" si="0"/>
        <v>1.96</v>
      </c>
      <c r="J52" s="20">
        <v>7.8161125631141543E-3</v>
      </c>
      <c r="K52" s="20">
        <v>7.6721898861994691E-3</v>
      </c>
      <c r="M52" s="16"/>
      <c r="N52" s="16"/>
    </row>
    <row r="53" spans="1:14" ht="16.2" x14ac:dyDescent="0.3">
      <c r="A53" s="19">
        <v>25</v>
      </c>
      <c r="B53" s="20">
        <v>3.7305875864284757E-2</v>
      </c>
      <c r="C53" s="21">
        <v>0.3935107484094531</v>
      </c>
      <c r="D53" s="24"/>
      <c r="E53" s="27">
        <v>2</v>
      </c>
      <c r="F53" s="20">
        <v>9.5665330901691537E-3</v>
      </c>
      <c r="G53" s="20">
        <v>9.4079758788943105E-3</v>
      </c>
      <c r="H53" s="19"/>
      <c r="I53" s="27">
        <f t="shared" si="0"/>
        <v>2</v>
      </c>
      <c r="J53" s="20">
        <v>7.8143303304858362E-3</v>
      </c>
      <c r="K53" s="20">
        <v>7.8489400314491944E-3</v>
      </c>
      <c r="M53" s="16"/>
      <c r="N53" s="16"/>
    </row>
    <row r="54" spans="1:14" ht="16.2" x14ac:dyDescent="0.3">
      <c r="A54" s="19"/>
      <c r="B54" s="22"/>
      <c r="C54" s="22"/>
      <c r="D54" s="24"/>
      <c r="E54" s="27">
        <v>2.04</v>
      </c>
      <c r="F54" s="20">
        <v>9.8791063033885872E-3</v>
      </c>
      <c r="G54" s="20">
        <v>9.7211793829637475E-3</v>
      </c>
      <c r="H54" s="19"/>
      <c r="I54" s="27">
        <f t="shared" si="0"/>
        <v>2.04</v>
      </c>
      <c r="J54" s="20">
        <v>7.7769731769402987E-3</v>
      </c>
      <c r="K54" s="20">
        <v>7.8112734692185916E-3</v>
      </c>
      <c r="M54" s="16"/>
      <c r="N54" s="16"/>
    </row>
    <row r="55" spans="1:14" ht="16.2" x14ac:dyDescent="0.3">
      <c r="B55"/>
      <c r="C55"/>
      <c r="D55" s="24"/>
      <c r="E55" s="27">
        <v>2.08</v>
      </c>
      <c r="F55" s="20">
        <v>1.0190185230466199E-2</v>
      </c>
      <c r="G55" s="20">
        <v>1.0032880788416436E-2</v>
      </c>
      <c r="H55" s="19"/>
      <c r="I55" s="27">
        <f t="shared" si="0"/>
        <v>2.08</v>
      </c>
      <c r="J55" s="20">
        <v>7.7398373884569362E-3</v>
      </c>
      <c r="K55" s="20">
        <v>7.7738343073970127E-3</v>
      </c>
      <c r="M55" s="16"/>
      <c r="N55" s="16"/>
    </row>
    <row r="56" spans="1:14" ht="16.2" x14ac:dyDescent="0.3">
      <c r="B56"/>
      <c r="C56"/>
      <c r="D56" s="24"/>
      <c r="E56" s="27">
        <v>2.12</v>
      </c>
      <c r="F56" s="20">
        <v>1.0499778726004477E-2</v>
      </c>
      <c r="G56" s="20">
        <v>1.0343089096393024E-2</v>
      </c>
      <c r="H56" s="19"/>
      <c r="I56" s="27">
        <f t="shared" si="0"/>
        <v>2.12</v>
      </c>
      <c r="J56" s="20">
        <v>7.7029182906123567E-3</v>
      </c>
      <c r="K56" s="20">
        <v>7.7366178099135116E-3</v>
      </c>
      <c r="M56" s="16"/>
      <c r="N56" s="16"/>
    </row>
    <row r="57" spans="1:14" ht="16.2" x14ac:dyDescent="0.3">
      <c r="B57"/>
      <c r="C57"/>
      <c r="D57" s="24"/>
      <c r="E57" s="27">
        <v>2.16</v>
      </c>
      <c r="F57" s="20">
        <v>1.0807895457628971E-2</v>
      </c>
      <c r="G57" s="20">
        <v>1.0651813119509782E-2</v>
      </c>
      <c r="H57" s="19"/>
      <c r="I57" s="27">
        <f t="shared" si="0"/>
        <v>2.16</v>
      </c>
      <c r="J57" s="20">
        <v>7.6662112529668654E-3</v>
      </c>
      <c r="K57" s="20">
        <v>7.6996192864384775E-3</v>
      </c>
      <c r="M57" s="16"/>
      <c r="N57" s="16"/>
    </row>
    <row r="58" spans="1:14" ht="16.2" x14ac:dyDescent="0.3">
      <c r="B58"/>
      <c r="C58"/>
      <c r="D58" s="19"/>
      <c r="E58" s="27">
        <v>2.2000000000000002</v>
      </c>
      <c r="F58" s="20">
        <v>1.1114543907747645E-2</v>
      </c>
      <c r="G58" s="20">
        <v>1.0959061483666595E-2</v>
      </c>
      <c r="H58" s="19"/>
      <c r="I58" s="27">
        <f t="shared" si="0"/>
        <v>2.2000000000000002</v>
      </c>
      <c r="J58" s="20">
        <v>7.6297116875206038E-3</v>
      </c>
      <c r="K58" s="20">
        <v>7.6628340913038606E-3</v>
      </c>
      <c r="M58" s="16"/>
      <c r="N58" s="16"/>
    </row>
    <row r="59" spans="1:14" ht="16.2" x14ac:dyDescent="0.3">
      <c r="B59"/>
      <c r="C59"/>
      <c r="D59" s="19"/>
      <c r="E59" s="27">
        <v>2.2400000000000002</v>
      </c>
      <c r="F59" s="20">
        <v>1.141973237524847E-2</v>
      </c>
      <c r="G59" s="20">
        <v>1.1264842629812172E-2</v>
      </c>
      <c r="H59" s="19"/>
      <c r="I59" s="27">
        <f t="shared" si="0"/>
        <v>2.2400000000000002</v>
      </c>
      <c r="J59" s="20">
        <v>7.5934150501391889E-3</v>
      </c>
      <c r="K59" s="20">
        <v>7.6262576224439332E-3</v>
      </c>
      <c r="M59" s="16"/>
      <c r="N59" s="16"/>
    </row>
    <row r="60" spans="1:14" ht="16.2" x14ac:dyDescent="0.3">
      <c r="B60"/>
      <c r="C60"/>
      <c r="D60" s="19"/>
      <c r="E60" s="27">
        <v>2.2799999999999998</v>
      </c>
      <c r="F60" s="20">
        <v>1.1723468977254037E-2</v>
      </c>
      <c r="G60" s="20">
        <v>1.1569164815667273E-2</v>
      </c>
      <c r="H60" s="19"/>
      <c r="I60" s="27">
        <f t="shared" si="0"/>
        <v>2.2799999999999998</v>
      </c>
      <c r="J60" s="20">
        <v>7.5573168361720185E-3</v>
      </c>
      <c r="K60" s="20">
        <v>7.5898853203561325E-3</v>
      </c>
      <c r="M60" s="16"/>
      <c r="N60" s="16"/>
    </row>
    <row r="61" spans="1:14" ht="16.2" x14ac:dyDescent="0.3">
      <c r="B61"/>
      <c r="C61"/>
      <c r="D61" s="19"/>
      <c r="E61" s="27">
        <v>2.3199999999999998</v>
      </c>
      <c r="F61" s="20">
        <v>1.2025761650700918E-2</v>
      </c>
      <c r="G61" s="20">
        <v>1.1872036117406816E-2</v>
      </c>
      <c r="H61" s="19"/>
      <c r="I61" s="27">
        <f t="shared" si="0"/>
        <v>2.3199999999999998</v>
      </c>
      <c r="J61" s="20">
        <v>7.5214125819149033E-3</v>
      </c>
      <c r="K61" s="20">
        <v>7.5537126670815209E-3</v>
      </c>
      <c r="M61" s="16"/>
      <c r="N61" s="16"/>
    </row>
    <row r="62" spans="1:14" ht="16.2" x14ac:dyDescent="0.3">
      <c r="B62"/>
      <c r="C62"/>
      <c r="D62" s="19"/>
      <c r="E62" s="27">
        <v>2.36</v>
      </c>
      <c r="F62" s="20">
        <v>1.2326618153977514E-2</v>
      </c>
      <c r="G62" s="20">
        <v>1.2173464431301514E-2</v>
      </c>
      <c r="H62" s="19"/>
      <c r="I62" s="27">
        <f t="shared" si="0"/>
        <v>2.36</v>
      </c>
      <c r="J62" s="20">
        <v>7.4856978631464375E-3</v>
      </c>
      <c r="K62" s="20">
        <v>7.5177351852043876E-3</v>
      </c>
      <c r="M62" s="16"/>
      <c r="N62" s="16"/>
    </row>
    <row r="63" spans="1:14" ht="16.2" x14ac:dyDescent="0.3">
      <c r="B63"/>
      <c r="C63"/>
      <c r="D63" s="19"/>
      <c r="E63" s="27">
        <v>2.4</v>
      </c>
      <c r="F63" s="20">
        <v>1.2626046068503372E-2</v>
      </c>
      <c r="G63" s="20">
        <v>1.2473457475319926E-2</v>
      </c>
      <c r="H63" s="19"/>
      <c r="I63" s="27">
        <f t="shared" si="0"/>
        <v>2.4</v>
      </c>
      <c r="J63" s="20">
        <v>7.4501682934666538E-3</v>
      </c>
      <c r="K63" s="20">
        <v>7.4819484368706009E-3</v>
      </c>
      <c r="M63" s="16"/>
      <c r="N63" s="16"/>
    </row>
    <row r="64" spans="1:14" ht="16.2" x14ac:dyDescent="0.3">
      <c r="B64"/>
      <c r="C64"/>
      <c r="D64" s="19"/>
      <c r="E64" s="27">
        <v>2.44</v>
      </c>
      <c r="F64" s="20">
        <v>1.2924052800242038E-2</v>
      </c>
      <c r="G64" s="20">
        <v>1.277202279069159E-2</v>
      </c>
      <c r="H64" s="19"/>
      <c r="I64" s="27">
        <f t="shared" si="0"/>
        <v>2.44</v>
      </c>
      <c r="J64" s="20">
        <v>7.414819523146772E-3</v>
      </c>
      <c r="K64" s="20">
        <v>7.446348022824234E-3</v>
      </c>
      <c r="M64" s="16"/>
      <c r="N64" s="16"/>
    </row>
    <row r="65" spans="2:14" ht="16.2" x14ac:dyDescent="0.3">
      <c r="B65"/>
      <c r="C65"/>
      <c r="D65" s="19"/>
      <c r="E65" s="27">
        <v>2.48</v>
      </c>
      <c r="F65" s="20">
        <v>1.3220645581167909E-2</v>
      </c>
      <c r="G65" s="20">
        <v>1.3069167743432003E-2</v>
      </c>
      <c r="H65" s="19"/>
      <c r="I65" s="27">
        <f t="shared" si="0"/>
        <v>2.48</v>
      </c>
      <c r="J65" s="20">
        <v>7.3796472406713678E-3</v>
      </c>
      <c r="K65" s="20">
        <v>7.4109295814620947E-3</v>
      </c>
      <c r="M65" s="16"/>
      <c r="N65" s="16"/>
    </row>
    <row r="66" spans="2:14" ht="16.2" x14ac:dyDescent="0.3">
      <c r="B66"/>
      <c r="C66"/>
      <c r="D66" s="19"/>
      <c r="E66" s="27">
        <v>2.52</v>
      </c>
      <c r="F66" s="20">
        <v>1.3515831470794763E-2</v>
      </c>
      <c r="G66" s="20">
        <v>1.3364899525830056E-2</v>
      </c>
      <c r="H66" s="19"/>
      <c r="I66" s="27">
        <f t="shared" si="0"/>
        <v>2.52</v>
      </c>
      <c r="J66" s="20">
        <v>7.3446471681735785E-3</v>
      </c>
      <c r="K66" s="20">
        <v>7.3756887879057103E-3</v>
      </c>
      <c r="M66" s="16"/>
      <c r="N66" s="16"/>
    </row>
    <row r="67" spans="2:14" ht="16.2" x14ac:dyDescent="0.3">
      <c r="B67"/>
      <c r="C67"/>
      <c r="D67" s="19"/>
      <c r="E67" s="27">
        <v>2.56</v>
      </c>
      <c r="F67" s="20">
        <v>1.3809617357521706E-2</v>
      </c>
      <c r="G67" s="20">
        <v>1.3659225157898818E-2</v>
      </c>
      <c r="H67" s="19"/>
      <c r="I67" s="27">
        <f t="shared" si="0"/>
        <v>2.56</v>
      </c>
      <c r="J67" s="20">
        <v>7.3098150630098412E-3</v>
      </c>
      <c r="K67" s="20">
        <v>7.3406213530904443E-3</v>
      </c>
      <c r="M67" s="16"/>
      <c r="N67" s="16"/>
    </row>
    <row r="68" spans="2:14" ht="16.2" x14ac:dyDescent="0.3">
      <c r="B68"/>
      <c r="C68"/>
      <c r="D68" s="19"/>
      <c r="E68" s="27">
        <v>2.6</v>
      </c>
      <c r="F68" s="20">
        <v>1.41020099600421E-2</v>
      </c>
      <c r="G68" s="20">
        <v>1.3952151488790112E-2</v>
      </c>
      <c r="H68" s="19"/>
      <c r="I68" s="27">
        <f t="shared" ref="I68:I131" si="1">IF(E68&lt;&gt;"",E68,"")</f>
        <v>2.6</v>
      </c>
      <c r="J68" s="20">
        <v>7.2751467167493731E-3</v>
      </c>
      <c r="K68" s="20">
        <v>7.3057230228712969E-3</v>
      </c>
      <c r="M68" s="16"/>
      <c r="N68" s="16"/>
    </row>
    <row r="69" spans="2:14" ht="16.2" x14ac:dyDescent="0.3">
      <c r="B69"/>
      <c r="C69"/>
      <c r="D69" s="19"/>
      <c r="E69" s="27">
        <v>2.64</v>
      </c>
      <c r="F69" s="20">
        <v>1.4393015828712075E-2</v>
      </c>
      <c r="G69" s="20">
        <v>1.4243685198173683E-2</v>
      </c>
      <c r="H69" s="19"/>
      <c r="I69" s="27">
        <f t="shared" si="1"/>
        <v>2.64</v>
      </c>
      <c r="J69" s="20">
        <v>7.2406379531185679E-3</v>
      </c>
      <c r="K69" s="20">
        <v>7.270989577145056E-3</v>
      </c>
      <c r="M69" s="16"/>
      <c r="N69" s="16"/>
    </row>
    <row r="70" spans="2:14" ht="16.2" x14ac:dyDescent="0.3">
      <c r="B70"/>
      <c r="C70"/>
      <c r="D70" s="19"/>
      <c r="E70" s="27">
        <v>2.68</v>
      </c>
      <c r="F70" s="20">
        <v>1.4682641346836818E-2</v>
      </c>
      <c r="G70" s="20">
        <v>1.4533832797581607E-2</v>
      </c>
      <c r="H70" s="19"/>
      <c r="I70" s="27">
        <f t="shared" si="1"/>
        <v>2.68</v>
      </c>
      <c r="J70" s="20">
        <v>7.2062846281480998E-3</v>
      </c>
      <c r="K70" s="20">
        <v>7.2364168289884567E-3</v>
      </c>
      <c r="M70" s="16"/>
      <c r="N70" s="16"/>
    </row>
    <row r="71" spans="2:14" ht="16.2" x14ac:dyDescent="0.3">
      <c r="B71"/>
      <c r="C71"/>
      <c r="D71" s="19"/>
      <c r="E71" s="27">
        <v>2.72</v>
      </c>
      <c r="F71" s="20">
        <v>1.4970892731962742E-2</v>
      </c>
      <c r="G71" s="20">
        <v>1.4822600631718495E-2</v>
      </c>
      <c r="H71" s="19"/>
      <c r="I71" s="27">
        <f t="shared" si="1"/>
        <v>2.72</v>
      </c>
      <c r="J71" s="20">
        <v>7.172082629277373E-3</v>
      </c>
      <c r="K71" s="20">
        <v>7.2020006238119527E-3</v>
      </c>
      <c r="M71" s="16"/>
      <c r="N71" s="16"/>
    </row>
    <row r="72" spans="2:14" ht="16.2" x14ac:dyDescent="0.3">
      <c r="B72"/>
      <c r="C72"/>
      <c r="D72" s="19"/>
      <c r="E72" s="27">
        <v>2.76</v>
      </c>
      <c r="F72" s="20">
        <v>1.5257776037133837E-2</v>
      </c>
      <c r="G72" s="20">
        <v>1.5109994879738171E-2</v>
      </c>
      <c r="H72" s="19"/>
      <c r="I72" s="27">
        <f t="shared" si="1"/>
        <v>2.76</v>
      </c>
      <c r="J72" s="20">
        <v>7.138027873978799E-3</v>
      </c>
      <c r="K72" s="20">
        <v>7.1677368385288246E-3</v>
      </c>
      <c r="M72" s="16"/>
      <c r="N72" s="16"/>
    </row>
    <row r="73" spans="2:14" ht="16.2" x14ac:dyDescent="0.3">
      <c r="B73"/>
      <c r="C73"/>
      <c r="D73" s="19"/>
      <c r="E73" s="27">
        <v>2.8</v>
      </c>
      <c r="F73" s="20">
        <v>1.5543297152092989E-2</v>
      </c>
      <c r="G73" s="20">
        <v>1.5396021556487428E-2</v>
      </c>
      <c r="H73" s="19"/>
      <c r="I73" s="27">
        <f t="shared" si="1"/>
        <v>2.8</v>
      </c>
      <c r="J73" s="20">
        <v>7.104116309314748E-3</v>
      </c>
      <c r="K73" s="20">
        <v>7.1336213807392437E-3</v>
      </c>
      <c r="M73" s="16"/>
      <c r="N73" s="16"/>
    </row>
    <row r="74" spans="2:14" ht="16.2" x14ac:dyDescent="0.3">
      <c r="B74"/>
      <c r="C74"/>
      <c r="D74" s="19"/>
      <c r="E74" s="27">
        <v>2.84</v>
      </c>
      <c r="F74" s="20">
        <v>1.5827461804465578E-2</v>
      </c>
      <c r="G74" s="20">
        <v>1.5680686513717432E-2</v>
      </c>
      <c r="H74" s="19"/>
      <c r="I74" s="27">
        <f t="shared" si="1"/>
        <v>2.84</v>
      </c>
      <c r="J74" s="20">
        <v>7.0703439114388165E-3</v>
      </c>
      <c r="K74" s="20">
        <v>7.0996501879290012E-3</v>
      </c>
      <c r="M74" s="16"/>
      <c r="N74" s="16"/>
    </row>
    <row r="75" spans="2:14" ht="16.2" x14ac:dyDescent="0.3">
      <c r="B75"/>
      <c r="C75"/>
      <c r="D75" s="19"/>
      <c r="E75" s="27">
        <v>2.88</v>
      </c>
      <c r="F75" s="20">
        <v>1.6110275560923131E-2</v>
      </c>
      <c r="G75" s="20">
        <v>1.596399544126335E-2</v>
      </c>
      <c r="H75" s="19"/>
      <c r="I75" s="27">
        <f t="shared" si="1"/>
        <v>2.88</v>
      </c>
      <c r="J75" s="20">
        <v>7.0367066846877858E-3</v>
      </c>
      <c r="K75" s="20">
        <v>7.0658192266826085E-3</v>
      </c>
      <c r="M75" s="16"/>
      <c r="N75" s="16"/>
    </row>
    <row r="76" spans="2:14" ht="16.2" x14ac:dyDescent="0.3">
      <c r="B76"/>
      <c r="C76"/>
      <c r="D76" s="19"/>
      <c r="E76" s="27">
        <v>2.92</v>
      </c>
      <c r="F76" s="20">
        <v>1.6391743828310643E-2</v>
      </c>
      <c r="G76" s="20">
        <v>1.6245953868192779E-2</v>
      </c>
      <c r="H76" s="19"/>
      <c r="I76" s="27">
        <f t="shared" si="1"/>
        <v>2.92</v>
      </c>
      <c r="J76" s="20">
        <v>7.0032006596928119E-3</v>
      </c>
      <c r="K76" s="20">
        <v>7.0321244919104159E-3</v>
      </c>
      <c r="M76" s="16"/>
      <c r="N76" s="16"/>
    </row>
    <row r="77" spans="2:14" ht="16.2" x14ac:dyDescent="0.3">
      <c r="B77"/>
      <c r="C77"/>
      <c r="D77" s="19"/>
      <c r="E77" s="27">
        <v>2.96</v>
      </c>
      <c r="F77" s="20">
        <v>1.6671871854698355E-2</v>
      </c>
      <c r="G77" s="20">
        <v>1.652656716392361E-2</v>
      </c>
      <c r="H77" s="19"/>
      <c r="I77" s="27">
        <f t="shared" si="1"/>
        <v>2.96</v>
      </c>
      <c r="J77" s="20">
        <v>6.9698218951898261E-3</v>
      </c>
      <c r="K77" s="20">
        <v>6.9985620060895384E-3</v>
      </c>
      <c r="M77" s="16"/>
      <c r="N77" s="16"/>
    </row>
    <row r="78" spans="2:14" ht="16.2" x14ac:dyDescent="0.3">
      <c r="B78"/>
      <c r="C78"/>
      <c r="D78" s="19"/>
      <c r="E78" s="27">
        <v>3</v>
      </c>
      <c r="F78" s="20">
        <v>1.6950664730505948E-2</v>
      </c>
      <c r="G78" s="20">
        <v>1.6805840539311678E-2</v>
      </c>
      <c r="H78" s="19"/>
      <c r="I78" s="27">
        <f t="shared" si="1"/>
        <v>3</v>
      </c>
      <c r="J78" s="20">
        <v>6.9365664740310591E-3</v>
      </c>
      <c r="K78" s="20">
        <v>6.9651278185182217E-3</v>
      </c>
      <c r="M78" s="16"/>
      <c r="N78" s="16"/>
    </row>
    <row r="79" spans="2:14" ht="16.2" x14ac:dyDescent="0.3">
      <c r="B79"/>
      <c r="C79"/>
      <c r="D79" s="19"/>
      <c r="E79" s="27">
        <v>3.04</v>
      </c>
      <c r="F79" s="20">
        <v>1.722812738946719E-2</v>
      </c>
      <c r="G79" s="20">
        <v>1.7083779047708945E-2</v>
      </c>
      <c r="H79" s="19"/>
      <c r="I79" s="27">
        <f t="shared" si="1"/>
        <v>3.04</v>
      </c>
      <c r="J79" s="20">
        <v>6.9034305057331762E-3</v>
      </c>
      <c r="K79" s="20">
        <v>6.9318180045834571E-3</v>
      </c>
      <c r="M79" s="16"/>
      <c r="N79" s="16"/>
    </row>
    <row r="80" spans="2:14" ht="16.2" x14ac:dyDescent="0.3">
      <c r="B80"/>
      <c r="C80"/>
      <c r="D80" s="19"/>
      <c r="E80" s="27">
        <v>3.08</v>
      </c>
      <c r="F80" s="20">
        <v>1.7504264609696518E-2</v>
      </c>
      <c r="G80" s="20">
        <v>1.7360387585992631E-2</v>
      </c>
      <c r="H80" s="19"/>
      <c r="I80" s="27">
        <f t="shared" si="1"/>
        <v>3.08</v>
      </c>
      <c r="J80" s="20">
        <v>6.8704101233626677E-3</v>
      </c>
      <c r="K80" s="20">
        <v>6.8986286650415049E-3</v>
      </c>
      <c r="M80" s="16"/>
      <c r="N80" s="16"/>
    </row>
    <row r="81" spans="2:14" ht="16.2" x14ac:dyDescent="0.3">
      <c r="B81"/>
      <c r="C81"/>
      <c r="D81" s="19"/>
      <c r="E81" s="27">
        <v>3.12</v>
      </c>
      <c r="F81" s="20">
        <v>1.7779081014631024E-2</v>
      </c>
      <c r="G81" s="20">
        <v>1.7635670895565773E-2</v>
      </c>
      <c r="H81" s="19"/>
      <c r="I81" s="27">
        <f t="shared" si="1"/>
        <v>3.12</v>
      </c>
      <c r="J81" s="20">
        <v>6.8375014831977519E-3</v>
      </c>
      <c r="K81" s="20">
        <v>6.865555925311133E-3</v>
      </c>
      <c r="M81" s="16"/>
      <c r="N81" s="16"/>
    </row>
    <row r="82" spans="2:14" ht="16.2" x14ac:dyDescent="0.3">
      <c r="B82"/>
      <c r="C82"/>
      <c r="D82" s="19"/>
      <c r="E82" s="27">
        <v>3.16</v>
      </c>
      <c r="F82" s="20">
        <v>1.8052581073958934E-2</v>
      </c>
      <c r="G82" s="20">
        <v>1.7909633563329821E-2</v>
      </c>
      <c r="H82" s="19"/>
      <c r="I82" s="27">
        <f t="shared" si="1"/>
        <v>3.16</v>
      </c>
      <c r="J82" s="20">
        <v>6.8047007660441625E-3</v>
      </c>
      <c r="K82" s="20">
        <v>6.832595934779289E-3</v>
      </c>
      <c r="M82" s="16"/>
      <c r="N82" s="16"/>
    </row>
    <row r="83" spans="2:14" ht="16.2" x14ac:dyDescent="0.3">
      <c r="B83"/>
      <c r="C83"/>
      <c r="D83" s="19"/>
      <c r="E83" s="27">
        <v>3.2</v>
      </c>
      <c r="F83" s="20">
        <v>1.8324769104600701E-2</v>
      </c>
      <c r="G83" s="20">
        <v>1.8182280022629685E-2</v>
      </c>
      <c r="H83" s="19"/>
      <c r="I83" s="27">
        <f t="shared" si="1"/>
        <v>3.2</v>
      </c>
      <c r="J83" s="20">
        <v>6.7720041740089096E-3</v>
      </c>
      <c r="K83" s="20">
        <v>6.7997448661189525E-3</v>
      </c>
      <c r="M83" s="16"/>
      <c r="N83" s="16"/>
    </row>
    <row r="84" spans="2:14" ht="16.2" x14ac:dyDescent="0.3">
      <c r="B84"/>
      <c r="C84"/>
      <c r="D84" s="19"/>
      <c r="E84" s="27">
        <v>3.24</v>
      </c>
      <c r="F84" s="20">
        <v>1.8595649271561057E-2</v>
      </c>
      <c r="G84" s="20">
        <v>1.8453614554171719E-2</v>
      </c>
      <c r="H84" s="19"/>
      <c r="I84" s="27">
        <f t="shared" si="1"/>
        <v>3.24</v>
      </c>
      <c r="J84" s="20">
        <v>6.7394079304822392E-3</v>
      </c>
      <c r="K84" s="20">
        <v>6.7669989146189845E-3</v>
      </c>
      <c r="M84" s="16"/>
      <c r="N84" s="16"/>
    </row>
    <row r="85" spans="2:14" ht="16.2" x14ac:dyDescent="0.3">
      <c r="B85"/>
      <c r="C85"/>
      <c r="D85" s="19"/>
      <c r="E85" s="27">
        <v>3.28</v>
      </c>
      <c r="F85" s="20">
        <v>1.8865225588780347E-2</v>
      </c>
      <c r="G85" s="20">
        <v>1.8723641286915151E-2</v>
      </c>
      <c r="H85" s="19"/>
      <c r="I85" s="27">
        <f t="shared" si="1"/>
        <v>3.28</v>
      </c>
      <c r="J85" s="20">
        <v>6.7069082814941866E-3</v>
      </c>
      <c r="K85" s="20">
        <v>6.7343542975256887E-3</v>
      </c>
      <c r="M85" s="16"/>
      <c r="N85" s="16"/>
    </row>
    <row r="86" spans="2:14" ht="16.2" x14ac:dyDescent="0.3">
      <c r="B86"/>
      <c r="C86"/>
      <c r="D86" s="19"/>
      <c r="E86" s="27">
        <v>3.32</v>
      </c>
      <c r="F86" s="20">
        <v>1.9133501920040114E-2</v>
      </c>
      <c r="G86" s="20">
        <v>1.8992364198937434E-2</v>
      </c>
      <c r="H86" s="19"/>
      <c r="I86" s="27">
        <f t="shared" si="1"/>
        <v>3.32</v>
      </c>
      <c r="J86" s="20">
        <v>6.6745014922298639E-3</v>
      </c>
      <c r="K86" s="20">
        <v>6.7018072533959003E-3</v>
      </c>
      <c r="M86" s="16"/>
      <c r="N86" s="16"/>
    </row>
    <row r="87" spans="2:14" ht="16.2" x14ac:dyDescent="0.3">
      <c r="B87"/>
      <c r="C87"/>
      <c r="D87" s="19"/>
      <c r="E87" s="27">
        <v>3.36</v>
      </c>
      <c r="F87" s="20">
        <v>1.9400481979729309E-2</v>
      </c>
      <c r="G87" s="20">
        <v>1.9259787118273853E-2</v>
      </c>
      <c r="H87" s="19"/>
      <c r="I87" s="27">
        <f t="shared" si="1"/>
        <v>3.36</v>
      </c>
      <c r="J87" s="20">
        <v>6.6421838473335569E-3</v>
      </c>
      <c r="K87" s="20">
        <v>6.6693540414613974E-3</v>
      </c>
      <c r="M87" s="16"/>
      <c r="N87" s="16"/>
    </row>
    <row r="88" spans="2:14" ht="16.2" x14ac:dyDescent="0.3">
      <c r="B88"/>
      <c r="C88"/>
      <c r="D88" s="19"/>
      <c r="E88" s="27">
        <v>3.4</v>
      </c>
      <c r="F88" s="20">
        <v>1.9666169333622651E-2</v>
      </c>
      <c r="G88" s="20">
        <v>1.952591372373207E-2</v>
      </c>
      <c r="H88" s="19"/>
      <c r="I88" s="27">
        <f t="shared" si="1"/>
        <v>3.4</v>
      </c>
      <c r="J88" s="20">
        <v>6.6099516526588881E-3</v>
      </c>
      <c r="K88" s="20">
        <v>6.6369909410043896E-3</v>
      </c>
      <c r="M88" s="16"/>
      <c r="N88" s="16"/>
    </row>
    <row r="89" spans="2:14" ht="16.2" x14ac:dyDescent="0.3">
      <c r="B89"/>
      <c r="C89"/>
      <c r="D89" s="19"/>
      <c r="E89" s="27">
        <v>3.44</v>
      </c>
      <c r="F89" s="20">
        <v>1.9930567399729007E-2</v>
      </c>
      <c r="G89" s="20">
        <v>1.9790747545681785E-2</v>
      </c>
      <c r="H89" s="19"/>
      <c r="I89" s="27">
        <f t="shared" si="1"/>
        <v>3.44</v>
      </c>
      <c r="J89" s="20">
        <v>6.5778012307401469E-3</v>
      </c>
      <c r="K89" s="20">
        <v>6.6047142507439293E-3</v>
      </c>
      <c r="M89" s="16"/>
      <c r="N89" s="16"/>
    </row>
    <row r="90" spans="2:14" ht="16.2" x14ac:dyDescent="0.3">
      <c r="B90"/>
      <c r="C90"/>
      <c r="D90" s="19"/>
      <c r="E90" s="27">
        <v>3.48</v>
      </c>
      <c r="F90" s="20">
        <v>2.0193679448958612E-2</v>
      </c>
      <c r="G90" s="20">
        <v>2.005429196682014E-2</v>
      </c>
      <c r="H90" s="19"/>
      <c r="I90" s="27">
        <f t="shared" si="1"/>
        <v>3.48</v>
      </c>
      <c r="J90" s="20">
        <v>6.5457289222716625E-3</v>
      </c>
      <c r="K90" s="20">
        <v>6.5725202882330356E-3</v>
      </c>
      <c r="M90" s="16"/>
      <c r="N90" s="16"/>
    </row>
    <row r="91" spans="2:14" ht="16.2" x14ac:dyDescent="0.3">
      <c r="B91"/>
      <c r="C91"/>
      <c r="D91" s="19"/>
      <c r="E91" s="27">
        <v>3.52</v>
      </c>
      <c r="F91" s="20">
        <v>2.0455508605849479E-2</v>
      </c>
      <c r="G91" s="20">
        <v>2.0316550222913173E-2</v>
      </c>
      <c r="H91" s="19"/>
      <c r="I91" s="27">
        <f t="shared" si="1"/>
        <v>3.52</v>
      </c>
      <c r="J91" s="20">
        <v>6.5137310866800018E-3</v>
      </c>
      <c r="K91" s="20">
        <v>6.5404053892663483E-3</v>
      </c>
      <c r="M91" s="16"/>
      <c r="N91" s="16"/>
    </row>
    <row r="92" spans="2:14" ht="16.2" x14ac:dyDescent="0.3">
      <c r="B92"/>
      <c r="C92"/>
      <c r="D92" s="19"/>
      <c r="E92" s="27">
        <v>3.56</v>
      </c>
      <c r="F92" s="20">
        <v>2.0716057849316679E-2</v>
      </c>
      <c r="G92" s="20">
        <v>2.0577525403513833E-2</v>
      </c>
      <c r="H92" s="19"/>
      <c r="I92" s="27">
        <f t="shared" si="1"/>
        <v>3.56</v>
      </c>
      <c r="J92" s="20">
        <v>6.4818040994786032E-3</v>
      </c>
      <c r="K92" s="20">
        <v>6.5083659072981024E-3</v>
      </c>
      <c r="M92" s="16"/>
      <c r="N92" s="16"/>
    </row>
    <row r="93" spans="2:14" ht="16.2" x14ac:dyDescent="0.3">
      <c r="B93"/>
      <c r="C93"/>
      <c r="D93" s="19"/>
      <c r="E93" s="27">
        <v>3.6</v>
      </c>
      <c r="F93" s="20">
        <v>2.0975330013295823E-2</v>
      </c>
      <c r="G93" s="20">
        <v>2.0837220452656884E-2</v>
      </c>
      <c r="H93" s="19"/>
      <c r="I93" s="27">
        <f t="shared" si="1"/>
        <v>3.6</v>
      </c>
      <c r="J93" s="20">
        <v>6.4499443515612237E-3</v>
      </c>
      <c r="K93" s="20">
        <v>6.4763982128703225E-3</v>
      </c>
      <c r="M93" s="16"/>
      <c r="N93" s="16"/>
    </row>
    <row r="94" spans="2:14" ht="16.2" x14ac:dyDescent="0.3">
      <c r="B94"/>
      <c r="C94"/>
      <c r="D94" s="19"/>
      <c r="E94" s="27">
        <v>3.64</v>
      </c>
      <c r="F94" s="20">
        <v>2.1233327787358272E-2</v>
      </c>
      <c r="G94" s="20">
        <v>2.1095638169531142E-2</v>
      </c>
      <c r="H94" s="19"/>
      <c r="I94" s="27">
        <f t="shared" si="1"/>
        <v>3.64</v>
      </c>
      <c r="J94" s="20">
        <v>6.4181482518148661E-3</v>
      </c>
      <c r="K94" s="20">
        <v>6.4444986930510088E-3</v>
      </c>
      <c r="M94" s="16"/>
      <c r="N94" s="16"/>
    </row>
    <row r="95" spans="2:14" ht="16.2" x14ac:dyDescent="0.3">
      <c r="B95"/>
      <c r="C95"/>
      <c r="D95" s="19"/>
      <c r="E95" s="27">
        <v>3.68</v>
      </c>
      <c r="F95" s="20">
        <v>2.1490053717430867E-2</v>
      </c>
      <c r="G95" s="20">
        <v>2.1352781209129441E-2</v>
      </c>
      <c r="H95" s="19"/>
      <c r="I95" s="27">
        <f t="shared" si="1"/>
        <v>3.68</v>
      </c>
      <c r="J95" s="20">
        <v>6.3864122220555139E-3</v>
      </c>
      <c r="K95" s="20">
        <v>6.412663750882148E-3</v>
      </c>
      <c r="M95" s="16"/>
      <c r="N95" s="16"/>
    </row>
    <row r="96" spans="2:14" ht="16.2" x14ac:dyDescent="0.3">
      <c r="B96"/>
      <c r="C96"/>
      <c r="D96" s="19"/>
      <c r="E96" s="27">
        <v>3.72</v>
      </c>
      <c r="F96" s="20">
        <v>2.1745510206313087E-2</v>
      </c>
      <c r="G96" s="20">
        <v>2.1608652082876746E-2</v>
      </c>
      <c r="H96" s="19"/>
      <c r="I96" s="27">
        <f t="shared" si="1"/>
        <v>3.72</v>
      </c>
      <c r="J96" s="20">
        <v>6.3547327000904388E-3</v>
      </c>
      <c r="K96" s="20">
        <v>6.3808898048374717E-3</v>
      </c>
      <c r="M96" s="16"/>
      <c r="N96" s="16"/>
    </row>
    <row r="97" spans="2:14" ht="16.2" x14ac:dyDescent="0.3">
      <c r="B97"/>
      <c r="C97"/>
      <c r="D97" s="19"/>
      <c r="E97" s="27">
        <v>3.76</v>
      </c>
      <c r="F97" s="20">
        <v>2.1999699514316705E-2</v>
      </c>
      <c r="G97" s="20">
        <v>2.1863253159236679E-2</v>
      </c>
      <c r="H97" s="19"/>
      <c r="I97" s="27">
        <f t="shared" si="1"/>
        <v>3.76</v>
      </c>
      <c r="J97" s="20">
        <v>6.3231061380502641E-3</v>
      </c>
      <c r="K97" s="20">
        <v>6.3491732882896964E-3</v>
      </c>
      <c r="M97" s="16"/>
      <c r="N97" s="16"/>
    </row>
    <row r="98" spans="2:14" ht="16.2" x14ac:dyDescent="0.3">
      <c r="B98"/>
      <c r="C98"/>
      <c r="D98" s="19"/>
      <c r="E98" s="27">
        <v>3.8</v>
      </c>
      <c r="F98" s="20">
        <v>2.2252623759838715E-2</v>
      </c>
      <c r="G98" s="20">
        <v>2.2116586664297024E-2</v>
      </c>
      <c r="H98" s="19"/>
      <c r="I98" s="27">
        <f t="shared" si="1"/>
        <v>3.8</v>
      </c>
      <c r="J98" s="20">
        <v>6.2915290007243239E-3</v>
      </c>
      <c r="K98" s="20">
        <v>6.3175106489872304E-3</v>
      </c>
      <c r="M98" s="16"/>
      <c r="N98" s="16"/>
    </row>
    <row r="99" spans="2:14" ht="16.2" x14ac:dyDescent="0.3">
      <c r="B99"/>
      <c r="C99"/>
      <c r="D99" s="19"/>
      <c r="E99" s="27">
        <v>3.84</v>
      </c>
      <c r="F99" s="20">
        <v>2.2504284919867688E-2</v>
      </c>
      <c r="G99" s="20">
        <v>2.2368654682334455E-2</v>
      </c>
      <c r="H99" s="19"/>
      <c r="I99" s="27">
        <f t="shared" si="1"/>
        <v>3.84</v>
      </c>
      <c r="J99" s="20">
        <v>6.2599977667148615E-3</v>
      </c>
      <c r="K99" s="20">
        <v>6.2858983485400907E-3</v>
      </c>
      <c r="M99" s="16"/>
      <c r="N99" s="16"/>
    </row>
    <row r="100" spans="2:14" ht="16.2" x14ac:dyDescent="0.3">
      <c r="B100"/>
      <c r="C100"/>
      <c r="D100" s="19"/>
      <c r="E100" s="27">
        <v>3.88</v>
      </c>
      <c r="F100" s="20">
        <v>2.2754684830536283E-2</v>
      </c>
      <c r="G100" s="20">
        <v>2.261945915635882E-2</v>
      </c>
      <c r="H100" s="19"/>
      <c r="I100" s="27">
        <f t="shared" si="1"/>
        <v>3.88</v>
      </c>
      <c r="J100" s="20">
        <v>6.2285089275138095E-3</v>
      </c>
      <c r="K100" s="20">
        <v>6.2543328619149843E-3</v>
      </c>
      <c r="M100" s="16"/>
      <c r="N100" s="16"/>
    </row>
    <row r="101" spans="2:14" ht="16.2" x14ac:dyDescent="0.3">
      <c r="B101"/>
      <c r="C101"/>
      <c r="D101" s="19"/>
      <c r="E101" s="27">
        <v>3.92</v>
      </c>
      <c r="F101" s="20">
        <v>2.3003825187636835E-2</v>
      </c>
      <c r="G101" s="20">
        <v>2.286900188863749E-2</v>
      </c>
      <c r="H101" s="19"/>
      <c r="I101" s="27">
        <f t="shared" si="1"/>
        <v>3.92</v>
      </c>
      <c r="J101" s="20">
        <v>6.1970589865865087E-3</v>
      </c>
      <c r="K101" s="20">
        <v>6.2228106769393835E-3</v>
      </c>
      <c r="M101" s="16"/>
      <c r="N101" s="16"/>
    </row>
    <row r="102" spans="2:14" ht="16.2" x14ac:dyDescent="0.3">
      <c r="B102"/>
      <c r="C102"/>
      <c r="D102" s="19"/>
      <c r="E102" s="27">
        <v>3.96</v>
      </c>
      <c r="F102" s="20">
        <v>2.3251707547100296E-2</v>
      </c>
      <c r="G102" s="20">
        <v>2.3117284541200021E-2</v>
      </c>
      <c r="H102" s="19"/>
      <c r="I102" s="27">
        <f t="shared" si="1"/>
        <v>3.96</v>
      </c>
      <c r="J102" s="20">
        <v>6.1656444583862123E-3</v>
      </c>
      <c r="K102" s="20">
        <v>6.1913282938144973E-3</v>
      </c>
      <c r="M102" s="16"/>
      <c r="N102" s="16"/>
    </row>
    <row r="103" spans="2:14" ht="16.2" x14ac:dyDescent="0.3">
      <c r="B103"/>
      <c r="C103"/>
      <c r="D103" s="19"/>
      <c r="E103" s="27">
        <v>4</v>
      </c>
      <c r="F103" s="20">
        <v>2.3498333325435744E-2</v>
      </c>
      <c r="G103" s="20">
        <v>2.3364308636323529E-2</v>
      </c>
      <c r="H103" s="19"/>
      <c r="I103" s="27">
        <f t="shared" si="1"/>
        <v>4</v>
      </c>
      <c r="J103" s="20">
        <v>6.1342618699879344E-3</v>
      </c>
      <c r="K103" s="20">
        <v>6.159882224636982E-3</v>
      </c>
    </row>
    <row r="104" spans="2:14" ht="16.2" x14ac:dyDescent="0.3">
      <c r="B104"/>
      <c r="C104"/>
      <c r="D104" s="19"/>
      <c r="E104" s="27">
        <v>4.04</v>
      </c>
      <c r="F104" s="20">
        <v>2.3743703800235261E-2</v>
      </c>
      <c r="G104" s="20">
        <v>2.3610075556999042E-2</v>
      </c>
      <c r="H104" s="19"/>
      <c r="I104" s="27">
        <f t="shared" si="1"/>
        <v>4.04</v>
      </c>
      <c r="J104" s="20">
        <v>6.1029077583154082E-3</v>
      </c>
      <c r="K104" s="20">
        <v>6.1284689929293323E-3</v>
      </c>
    </row>
    <row r="105" spans="2:14" ht="16.2" x14ac:dyDescent="0.3">
      <c r="B105"/>
      <c r="C105"/>
      <c r="D105" s="19"/>
      <c r="E105" s="27">
        <v>4.08</v>
      </c>
      <c r="F105" s="20">
        <v>2.3987820110567878E-2</v>
      </c>
      <c r="G105" s="20">
        <v>2.3854586547379302E-2</v>
      </c>
      <c r="H105" s="19"/>
      <c r="I105" s="27">
        <f t="shared" si="1"/>
        <v>4.08</v>
      </c>
      <c r="J105" s="20">
        <v>6.0715786704101417E-3</v>
      </c>
      <c r="K105" s="20">
        <v>6.0970851331788129E-3</v>
      </c>
    </row>
    <row r="106" spans="2:14" ht="16.2" x14ac:dyDescent="0.3">
      <c r="B106"/>
      <c r="C106"/>
      <c r="D106" s="19"/>
      <c r="E106" s="27">
        <v>4.12</v>
      </c>
      <c r="F106" s="20">
        <v>2.4230683257384283E-2</v>
      </c>
      <c r="G106" s="20">
        <v>2.4097842713208289E-2</v>
      </c>
      <c r="H106" s="19"/>
      <c r="I106" s="27">
        <f t="shared" si="1"/>
        <v>4.12</v>
      </c>
      <c r="J106" s="20">
        <v>6.0402711643012079E-3</v>
      </c>
      <c r="K106" s="20">
        <v>6.0657271903848354E-3</v>
      </c>
    </row>
    <row r="107" spans="2:14" ht="16.2" x14ac:dyDescent="0.3">
      <c r="B107"/>
      <c r="C107"/>
      <c r="D107" s="19"/>
      <c r="E107" s="27">
        <v>4.16</v>
      </c>
      <c r="F107" s="20">
        <v>2.4472294103956332E-2</v>
      </c>
      <c r="G107" s="20">
        <v>2.4339845022232801E-2</v>
      </c>
      <c r="H107" s="19"/>
      <c r="I107" s="27">
        <f t="shared" si="1"/>
        <v>4.16</v>
      </c>
      <c r="J107" s="20">
        <v>6.0089818066101988E-3</v>
      </c>
      <c r="K107" s="20">
        <v>6.0343917196146995E-3</v>
      </c>
    </row>
    <row r="108" spans="2:14" ht="16.2" x14ac:dyDescent="0.3">
      <c r="B108"/>
      <c r="C108"/>
      <c r="D108" s="19"/>
      <c r="E108" s="27">
        <v>4.2</v>
      </c>
      <c r="F108" s="20">
        <v>2.471265337622074E-2</v>
      </c>
      <c r="G108" s="20">
        <v>2.4580594304596349E-2</v>
      </c>
      <c r="H108" s="19"/>
      <c r="I108" s="27">
        <f t="shared" si="1"/>
        <v>4.2</v>
      </c>
      <c r="J108" s="20">
        <v>5.9777071728496847E-3</v>
      </c>
      <c r="K108" s="20">
        <v>6.0030752855675575E-3</v>
      </c>
    </row>
    <row r="109" spans="2:14" ht="16.2" x14ac:dyDescent="0.3">
      <c r="B109"/>
      <c r="C109"/>
      <c r="D109" s="19"/>
      <c r="E109" s="27">
        <v>4.24</v>
      </c>
      <c r="F109" s="20">
        <v>2.4951761663134727E-2</v>
      </c>
      <c r="G109" s="20">
        <v>2.4820091253215982E-2</v>
      </c>
      <c r="H109" s="19"/>
      <c r="I109" s="27">
        <f t="shared" si="1"/>
        <v>4.24</v>
      </c>
      <c r="J109" s="20">
        <v>5.9464438479561212E-3</v>
      </c>
      <c r="K109" s="20">
        <v>5.9717744621466022E-3</v>
      </c>
    </row>
    <row r="110" spans="2:14" ht="16.2" x14ac:dyDescent="0.3">
      <c r="B110"/>
      <c r="C110"/>
      <c r="D110" s="19"/>
      <c r="E110" s="27">
        <v>4.28</v>
      </c>
      <c r="F110" s="20">
        <v>2.5189619417052972E-2</v>
      </c>
      <c r="G110" s="20">
        <v>2.5058336424141871E-2</v>
      </c>
      <c r="H110" s="19"/>
      <c r="I110" s="27">
        <f t="shared" si="1"/>
        <v>4.28</v>
      </c>
      <c r="J110" s="20">
        <v>5.915188424567789E-3</v>
      </c>
      <c r="K110" s="20">
        <v>5.9404858320392826E-3</v>
      </c>
    </row>
    <row r="111" spans="2:14" ht="16.2" x14ac:dyDescent="0.3">
      <c r="B111"/>
      <c r="C111"/>
      <c r="D111" s="19"/>
      <c r="E111" s="27">
        <v>4.32</v>
      </c>
      <c r="F111" s="20">
        <v>2.5426226954035683E-2</v>
      </c>
      <c r="G111" s="20">
        <v>2.5295330236900559E-2</v>
      </c>
      <c r="H111" s="19"/>
      <c r="I111" s="27">
        <f t="shared" si="1"/>
        <v>4.32</v>
      </c>
      <c r="J111" s="20">
        <v>5.8839375030614836E-3</v>
      </c>
      <c r="K111" s="20">
        <v>5.9092059863056082E-3</v>
      </c>
    </row>
    <row r="112" spans="2:14" ht="16.2" x14ac:dyDescent="0.3">
      <c r="B112"/>
      <c r="C112"/>
      <c r="D112" s="19"/>
      <c r="E112" s="27">
        <v>4.3600000000000003</v>
      </c>
      <c r="F112" s="20">
        <v>2.5661584454158143E-2</v>
      </c>
      <c r="G112" s="20">
        <v>2.5531072974821659E-2</v>
      </c>
      <c r="H112" s="19"/>
      <c r="I112" s="27">
        <f t="shared" si="1"/>
        <v>4.3600000000000003</v>
      </c>
      <c r="J112" s="20">
        <v>5.8526876913775686E-3</v>
      </c>
      <c r="K112" s="20">
        <v>5.877931523974307E-3</v>
      </c>
    </row>
    <row r="113" spans="2:11" ht="16.2" x14ac:dyDescent="0.3">
      <c r="B113"/>
      <c r="C113"/>
      <c r="D113" s="19"/>
      <c r="E113" s="27">
        <v>4.4000000000000004</v>
      </c>
      <c r="F113" s="20">
        <v>2.5895691961813246E-2</v>
      </c>
      <c r="G113" s="20">
        <v>2.5765564785348704E-2</v>
      </c>
      <c r="H113" s="19"/>
      <c r="I113" s="27">
        <f t="shared" si="1"/>
        <v>4.4000000000000004</v>
      </c>
      <c r="J113" s="20">
        <v>5.8214356048548292E-3</v>
      </c>
      <c r="K113" s="20">
        <v>5.8466590516469087E-3</v>
      </c>
    </row>
    <row r="114" spans="2:11" ht="16.2" x14ac:dyDescent="0.3">
      <c r="B114"/>
      <c r="C114"/>
      <c r="D114" s="19"/>
      <c r="E114" s="27">
        <v>4.4400000000000004</v>
      </c>
      <c r="F114" s="20">
        <v>2.6128549386007439E-2</v>
      </c>
      <c r="G114" s="20">
        <v>2.5998805680334254E-2</v>
      </c>
      <c r="H114" s="19"/>
      <c r="I114" s="27">
        <f t="shared" si="1"/>
        <v>4.4400000000000004</v>
      </c>
      <c r="J114" s="20">
        <v>5.7901778643879367E-3</v>
      </c>
      <c r="K114" s="20">
        <v>5.8153851831096127E-3</v>
      </c>
    </row>
    <row r="115" spans="2:11" ht="16.2" x14ac:dyDescent="0.3">
      <c r="B115"/>
      <c r="C115"/>
      <c r="D115" s="19"/>
      <c r="E115" s="27">
        <v>4.4800000000000004</v>
      </c>
      <c r="F115" s="20">
        <v>2.6360156500582956E-2</v>
      </c>
      <c r="G115" s="20">
        <v>2.6230795536319684E-2</v>
      </c>
      <c r="H115" s="19"/>
      <c r="I115" s="27">
        <f t="shared" si="1"/>
        <v>4.4800000000000004</v>
      </c>
      <c r="J115" s="20">
        <v>5.7589110985478004E-3</v>
      </c>
      <c r="K115" s="20">
        <v>5.7841065389529168E-3</v>
      </c>
    </row>
    <row r="116" spans="2:11" ht="16.2" x14ac:dyDescent="0.3">
      <c r="B116"/>
      <c r="C116"/>
      <c r="D116" s="19"/>
      <c r="E116" s="27">
        <v>4.5199999999999996</v>
      </c>
      <c r="F116" s="20">
        <v>2.6590512944524868E-2</v>
      </c>
      <c r="G116" s="20">
        <v>2.6461534094799826E-2</v>
      </c>
      <c r="H116" s="19"/>
      <c r="I116" s="27">
        <f t="shared" si="1"/>
        <v>4.5199999999999996</v>
      </c>
      <c r="J116" s="20">
        <v>5.7276319410948413E-3</v>
      </c>
      <c r="K116" s="20">
        <v>5.7528197461988936E-3</v>
      </c>
    </row>
    <row r="117" spans="2:11" ht="16.2" x14ac:dyDescent="0.3">
      <c r="B117"/>
      <c r="C117"/>
      <c r="D117" s="19"/>
      <c r="E117" s="27">
        <v>4.5599999999999996</v>
      </c>
      <c r="F117" s="20">
        <v>2.6819618222168662E-2</v>
      </c>
      <c r="G117" s="20">
        <v>2.6691020962472941E-2</v>
      </c>
      <c r="H117" s="19"/>
      <c r="I117" s="27">
        <f t="shared" si="1"/>
        <v>4.5599999999999996</v>
      </c>
      <c r="J117" s="20">
        <v>5.6963370311357252E-3</v>
      </c>
      <c r="K117" s="20">
        <v>5.7215214379361433E-3</v>
      </c>
    </row>
    <row r="118" spans="2:11" ht="16.2" x14ac:dyDescent="0.3">
      <c r="B118"/>
      <c r="C118"/>
      <c r="D118" s="19"/>
      <c r="E118" s="27">
        <v>4.5999999999999996</v>
      </c>
      <c r="F118" s="20">
        <v>2.7047471703414091E-2</v>
      </c>
      <c r="G118" s="20">
        <v>2.6919255611476182E-2</v>
      </c>
      <c r="H118" s="19"/>
      <c r="I118" s="27">
        <f t="shared" si="1"/>
        <v>4.5999999999999996</v>
      </c>
      <c r="J118" s="20">
        <v>5.6650230132885941E-3</v>
      </c>
      <c r="K118" s="20">
        <v>5.6902082529623381E-3</v>
      </c>
    </row>
    <row r="119" spans="2:11" ht="16.2" x14ac:dyDescent="0.3">
      <c r="B119"/>
      <c r="C119"/>
      <c r="D119" s="19"/>
      <c r="E119" s="27">
        <v>4.6399999999999997</v>
      </c>
      <c r="F119" s="20">
        <v>2.7274072623945635E-2</v>
      </c>
      <c r="G119" s="20">
        <v>2.7146237379606978E-2</v>
      </c>
      <c r="H119" s="19"/>
      <c r="I119" s="27">
        <f t="shared" si="1"/>
        <v>4.6399999999999997</v>
      </c>
      <c r="J119" s="20">
        <v>5.633686537567708E-3</v>
      </c>
      <c r="K119" s="20">
        <v>5.6588768354342732E-3</v>
      </c>
    </row>
    <row r="120" spans="2:11" ht="16.2" x14ac:dyDescent="0.3">
      <c r="B120"/>
      <c r="C120"/>
      <c r="D120" s="19"/>
      <c r="E120" s="27">
        <v>4.68</v>
      </c>
      <c r="F120" s="20">
        <v>2.7499420085448343E-2</v>
      </c>
      <c r="G120" s="20">
        <v>2.7371965470530432E-2</v>
      </c>
      <c r="H120" s="19"/>
      <c r="I120" s="27">
        <f t="shared" si="1"/>
        <v>4.68</v>
      </c>
      <c r="J120" s="20">
        <v>5.6023242572080141E-3</v>
      </c>
      <c r="K120" s="20">
        <v>5.6275238345254528E-3</v>
      </c>
    </row>
    <row r="121" spans="2:11" ht="16.2" x14ac:dyDescent="0.3">
      <c r="B121"/>
      <c r="C121"/>
      <c r="D121" s="19"/>
      <c r="E121" s="27">
        <v>4.72</v>
      </c>
      <c r="F121" s="20">
        <v>2.7723513055736664E-2</v>
      </c>
      <c r="G121" s="20">
        <v>2.7596438953973401E-2</v>
      </c>
      <c r="H121" s="19"/>
      <c r="I121" s="27">
        <f t="shared" si="1"/>
        <v>4.72</v>
      </c>
      <c r="J121" s="20">
        <v>5.5709328312132829E-3</v>
      </c>
      <c r="K121" s="20">
        <v>5.5961459040911564E-3</v>
      </c>
    </row>
    <row r="122" spans="2:11" ht="16.2" x14ac:dyDescent="0.3">
      <c r="B122"/>
      <c r="C122"/>
      <c r="D122" s="19"/>
      <c r="E122" s="27">
        <v>4.76</v>
      </c>
      <c r="F122" s="20">
        <v>2.7946350368985195E-2</v>
      </c>
      <c r="G122" s="20">
        <v>2.7819656765905067E-2</v>
      </c>
      <c r="H122" s="19"/>
      <c r="I122" s="27">
        <f t="shared" si="1"/>
        <v>4.76</v>
      </c>
      <c r="J122" s="20">
        <v>5.5395089215340594E-3</v>
      </c>
      <c r="K122" s="20">
        <v>5.5647397023409276E-3</v>
      </c>
    </row>
    <row r="123" spans="2:11" ht="16.2" x14ac:dyDescent="0.3">
      <c r="B123"/>
      <c r="C123"/>
      <c r="D123" s="19"/>
      <c r="E123" s="27">
        <v>4.8</v>
      </c>
      <c r="F123" s="20">
        <v>2.8167930725846557E-2</v>
      </c>
      <c r="G123" s="20">
        <v>2.8041617708704728E-2</v>
      </c>
      <c r="H123" s="19"/>
      <c r="I123" s="27">
        <f t="shared" si="1"/>
        <v>4.8</v>
      </c>
      <c r="J123" s="20">
        <v>5.5080491935644883E-3</v>
      </c>
      <c r="K123" s="20">
        <v>5.5333018915184745E-3</v>
      </c>
    </row>
    <row r="124" spans="2:11" ht="16.2" x14ac:dyDescent="0.3">
      <c r="B124"/>
      <c r="C124"/>
      <c r="D124" s="19"/>
      <c r="E124" s="27">
        <v>4.84</v>
      </c>
      <c r="F124" s="20">
        <v>2.8388252693589137E-2</v>
      </c>
      <c r="G124" s="20">
        <v>2.8262320451316922E-2</v>
      </c>
      <c r="H124" s="19"/>
      <c r="I124" s="27">
        <f t="shared" si="1"/>
        <v>4.84</v>
      </c>
      <c r="J124" s="20">
        <v>5.4765503168778366E-3</v>
      </c>
      <c r="K124" s="20">
        <v>5.5018291375889773E-3</v>
      </c>
    </row>
    <row r="125" spans="2:11" ht="16.2" x14ac:dyDescent="0.3">
      <c r="B125"/>
      <c r="C125"/>
      <c r="D125" s="19"/>
      <c r="E125" s="27">
        <v>4.88</v>
      </c>
      <c r="F125" s="20">
        <v>2.860731470626425E-2</v>
      </c>
      <c r="G125" s="20">
        <v>2.8481763529394116E-2</v>
      </c>
      <c r="H125" s="19"/>
      <c r="I125" s="27">
        <f t="shared" si="1"/>
        <v>4.88</v>
      </c>
      <c r="J125" s="20">
        <v>5.4450089632284392E-3</v>
      </c>
      <c r="K125" s="20">
        <v>5.470318109933754E-3</v>
      </c>
    </row>
    <row r="126" spans="2:11" ht="16.2" x14ac:dyDescent="0.3">
      <c r="B126"/>
      <c r="C126"/>
      <c r="D126" s="19"/>
      <c r="E126" s="27">
        <v>4.92</v>
      </c>
      <c r="F126" s="20">
        <v>2.8825115064793388E-2</v>
      </c>
      <c r="G126" s="20">
        <v>2.8699945345427354E-2</v>
      </c>
      <c r="H126" s="19"/>
      <c r="I126" s="27">
        <f t="shared" si="1"/>
        <v>4.92</v>
      </c>
      <c r="J126" s="20">
        <v>5.4134218073729166E-3</v>
      </c>
      <c r="K126" s="20">
        <v>5.4387654810523055E-3</v>
      </c>
    </row>
    <row r="127" spans="2:11" ht="16.2" x14ac:dyDescent="0.3">
      <c r="B127"/>
      <c r="C127"/>
      <c r="D127" s="19"/>
      <c r="E127" s="27">
        <v>4.96</v>
      </c>
      <c r="F127" s="20">
        <v>2.9041651937088304E-2</v>
      </c>
      <c r="G127" s="20">
        <v>2.8916864168865193E-2</v>
      </c>
      <c r="H127" s="19"/>
      <c r="I127" s="27">
        <f t="shared" si="1"/>
        <v>4.96</v>
      </c>
      <c r="J127" s="20">
        <v>5.3817855267175065E-3</v>
      </c>
      <c r="K127" s="20">
        <v>5.4071679262716627E-3</v>
      </c>
    </row>
    <row r="128" spans="2:11" ht="16.2" x14ac:dyDescent="0.3">
      <c r="B128"/>
      <c r="C128"/>
      <c r="D128" s="19"/>
      <c r="E128" s="27">
        <v>5</v>
      </c>
      <c r="F128" s="20">
        <v>2.9256923358157005E-2</v>
      </c>
      <c r="G128" s="20">
        <v>2.9132518136221041E-2</v>
      </c>
      <c r="H128" s="19"/>
      <c r="I128" s="27">
        <f t="shared" si="1"/>
        <v>5</v>
      </c>
      <c r="J128" s="20">
        <v>5.3500968005239062E-3</v>
      </c>
      <c r="K128" s="20">
        <v>5.3755221234631223E-3</v>
      </c>
    </row>
    <row r="129" spans="2:11" ht="16.2" x14ac:dyDescent="0.3">
      <c r="B129"/>
      <c r="C129"/>
      <c r="D129" s="19"/>
      <c r="E129" s="27">
        <v>5.04</v>
      </c>
      <c r="F129" s="20">
        <v>2.9470927230177961E-2</v>
      </c>
      <c r="G129" s="20">
        <v>2.9346905251169505E-2</v>
      </c>
      <c r="H129" s="19"/>
      <c r="I129" s="27">
        <f t="shared" si="1"/>
        <v>5.04</v>
      </c>
      <c r="J129" s="20">
        <v>5.3183523094914656E-3</v>
      </c>
      <c r="K129" s="20">
        <v>5.3438247527662717E-3</v>
      </c>
    </row>
    <row r="130" spans="2:11" ht="16.2" x14ac:dyDescent="0.3">
      <c r="B130"/>
      <c r="C130"/>
      <c r="D130" s="19"/>
      <c r="E130" s="27">
        <v>5.08</v>
      </c>
      <c r="F130" s="20">
        <v>2.968366132255762E-2</v>
      </c>
      <c r="G130" s="20">
        <v>2.9560023384631595E-2</v>
      </c>
      <c r="H130" s="19"/>
      <c r="I130" s="27">
        <f t="shared" si="1"/>
        <v>5.08</v>
      </c>
      <c r="J130" s="20">
        <v>5.2865487373630199E-3</v>
      </c>
      <c r="K130" s="20">
        <v>5.3120724963203886E-3</v>
      </c>
    </row>
    <row r="131" spans="2:11" ht="16.2" x14ac:dyDescent="0.3">
      <c r="B131"/>
      <c r="C131"/>
      <c r="D131" s="19"/>
      <c r="E131" s="27">
        <v>5.12</v>
      </c>
      <c r="F131" s="20">
        <v>2.989512327205214E-2</v>
      </c>
      <c r="G131" s="20">
        <v>2.9771870274849527E-2</v>
      </c>
      <c r="H131" s="19"/>
      <c r="I131" s="27">
        <f t="shared" si="1"/>
        <v>5.12</v>
      </c>
      <c r="J131" s="20">
        <v>5.2546827678418527E-3</v>
      </c>
      <c r="K131" s="20">
        <v>5.2802620380031562E-3</v>
      </c>
    </row>
    <row r="132" spans="2:11" ht="16.2" x14ac:dyDescent="0.3">
      <c r="B132"/>
      <c r="C132"/>
      <c r="D132" s="19"/>
      <c r="E132" s="27">
        <v>5.16</v>
      </c>
      <c r="F132" s="20">
        <v>3.0105310582765814E-2</v>
      </c>
      <c r="G132" s="20">
        <v>2.998244352745116E-2</v>
      </c>
      <c r="H132" s="19"/>
      <c r="I132" s="27">
        <f t="shared" ref="I132:I195" si="2">IF(E132&lt;&gt;"",E132,"")</f>
        <v>5.16</v>
      </c>
      <c r="J132" s="20">
        <v>5.2227510862078511E-3</v>
      </c>
      <c r="K132" s="20">
        <v>5.2483900631767194E-3</v>
      </c>
    </row>
    <row r="133" spans="2:11" ht="16.2" x14ac:dyDescent="0.3">
      <c r="B133"/>
      <c r="C133"/>
      <c r="D133" s="19"/>
      <c r="E133" s="27">
        <v>5.2</v>
      </c>
      <c r="F133" s="20">
        <v>3.0314220626214129E-2</v>
      </c>
      <c r="G133" s="20">
        <v>3.0191740615504423E-2</v>
      </c>
      <c r="H133" s="19"/>
      <c r="I133" s="27">
        <f t="shared" si="2"/>
        <v>5.2</v>
      </c>
      <c r="J133" s="20">
        <v>5.1907503789355193E-3</v>
      </c>
      <c r="K133" s="20">
        <v>5.216453258441122E-3</v>
      </c>
    </row>
    <row r="134" spans="2:11" ht="16.2" x14ac:dyDescent="0.3">
      <c r="B134"/>
      <c r="C134"/>
      <c r="D134" s="19"/>
      <c r="E134" s="27">
        <v>5.24</v>
      </c>
      <c r="F134" s="20">
        <v>3.0521850641371549E-2</v>
      </c>
      <c r="G134" s="20">
        <v>3.0399758879561974E-2</v>
      </c>
      <c r="H134" s="19"/>
      <c r="I134" s="27">
        <f t="shared" si="2"/>
        <v>5.24</v>
      </c>
      <c r="J134" s="20">
        <v>5.158677333015442E-3</v>
      </c>
      <c r="K134" s="20">
        <v>5.1844483113950863E-3</v>
      </c>
    </row>
    <row r="135" spans="2:11" ht="16.2" x14ac:dyDescent="0.3">
      <c r="B135"/>
      <c r="C135"/>
      <c r="D135" s="19"/>
      <c r="E135" s="27">
        <v>5.28</v>
      </c>
      <c r="F135" s="20">
        <v>3.0728197734692167E-2</v>
      </c>
      <c r="G135" s="20">
        <v>3.0606495527696523E-2</v>
      </c>
      <c r="H135" s="19"/>
      <c r="I135" s="27">
        <f t="shared" si="2"/>
        <v>5.28</v>
      </c>
      <c r="J135" s="20">
        <v>5.1265286352805174E-3</v>
      </c>
      <c r="K135" s="20">
        <v>5.1523719104042236E-3</v>
      </c>
    </row>
    <row r="136" spans="2:11" ht="16.2" x14ac:dyDescent="0.3">
      <c r="B136"/>
      <c r="C136"/>
      <c r="D136" s="19"/>
      <c r="E136" s="27">
        <v>5.32</v>
      </c>
      <c r="F136" s="20">
        <v>3.0933258880103388E-2</v>
      </c>
      <c r="G136" s="20">
        <v>3.0811947635527009E-2</v>
      </c>
      <c r="H136" s="19"/>
      <c r="I136" s="27">
        <f t="shared" si="2"/>
        <v>5.32</v>
      </c>
      <c r="J136" s="20">
        <v>5.0943009739930559E-3</v>
      </c>
      <c r="K136" s="20">
        <v>5.120220744376615E-3</v>
      </c>
    </row>
    <row r="137" spans="2:11" ht="16.2" x14ac:dyDescent="0.3">
      <c r="B137"/>
      <c r="C137"/>
      <c r="D137" s="19"/>
      <c r="E137" s="27">
        <v>5.36</v>
      </c>
      <c r="F137" s="20">
        <v>3.113703091906311E-2</v>
      </c>
      <c r="G137" s="20">
        <v>3.1016112146235904E-2</v>
      </c>
      <c r="H137" s="19"/>
      <c r="I137" s="27">
        <f t="shared" si="2"/>
        <v>5.36</v>
      </c>
      <c r="J137" s="20">
        <v>5.0619910366120173E-3</v>
      </c>
      <c r="K137" s="20">
        <v>5.0879915025458583E-3</v>
      </c>
    </row>
    <row r="138" spans="2:11" ht="16.2" x14ac:dyDescent="0.3">
      <c r="B138"/>
      <c r="C138"/>
      <c r="D138" s="19"/>
      <c r="E138" s="27">
        <v>5.4</v>
      </c>
      <c r="F138" s="20">
        <v>3.1339510560527591E-2</v>
      </c>
      <c r="G138" s="20">
        <v>3.1218985870578003E-2</v>
      </c>
      <c r="H138" s="19"/>
      <c r="I138" s="27">
        <f t="shared" si="2"/>
        <v>5.4</v>
      </c>
      <c r="J138" s="20">
        <v>5.0295955098894618E-3</v>
      </c>
      <c r="K138" s="20">
        <v>5.0556808742615814E-3</v>
      </c>
    </row>
    <row r="139" spans="2:11" ht="16.2" x14ac:dyDescent="0.3">
      <c r="B139"/>
      <c r="C139"/>
      <c r="D139" s="19"/>
      <c r="E139" s="27">
        <v>5.44</v>
      </c>
      <c r="F139" s="20">
        <v>3.1540694380923169E-2</v>
      </c>
      <c r="G139" s="20">
        <v>3.1420565486881082E-2</v>
      </c>
      <c r="H139" s="19"/>
      <c r="I139" s="27">
        <f t="shared" si="2"/>
        <v>5.44</v>
      </c>
      <c r="J139" s="20">
        <v>4.9971110818641806E-3</v>
      </c>
      <c r="K139" s="20">
        <v>5.0232855487874692E-3</v>
      </c>
    </row>
    <row r="140" spans="2:11" ht="16.2" x14ac:dyDescent="0.3">
      <c r="B140"/>
      <c r="C140"/>
      <c r="D140" s="19"/>
      <c r="E140" s="27">
        <v>5.48</v>
      </c>
      <c r="F140" s="20">
        <v>3.1740578824197736E-2</v>
      </c>
      <c r="G140" s="20">
        <v>3.1620847541038458E-2</v>
      </c>
      <c r="H140" s="19"/>
      <c r="I140" s="27">
        <f t="shared" si="2"/>
        <v>5.48</v>
      </c>
      <c r="J140" s="20">
        <v>4.9645344385151544E-3</v>
      </c>
      <c r="K140" s="20">
        <v>4.9908022151067856E-3</v>
      </c>
    </row>
    <row r="141" spans="2:11" ht="16.2" x14ac:dyDescent="0.3">
      <c r="B141"/>
      <c r="C141"/>
      <c r="D141" s="19"/>
      <c r="E141" s="27">
        <v>5.52</v>
      </c>
      <c r="F141" s="20">
        <v>3.1939160201738342E-2</v>
      </c>
      <c r="G141" s="20">
        <v>3.1819828446494031E-2</v>
      </c>
      <c r="H141" s="19"/>
      <c r="I141" s="27">
        <f t="shared" si="2"/>
        <v>5.52</v>
      </c>
      <c r="J141" s="20">
        <v>4.9318622653882899E-3</v>
      </c>
      <c r="K141" s="20">
        <v>4.9582275617355287E-3</v>
      </c>
    </row>
    <row r="142" spans="2:11" ht="16.2" x14ac:dyDescent="0.3">
      <c r="B142"/>
      <c r="C142"/>
      <c r="D142" s="19"/>
      <c r="E142" s="27">
        <v>5.56</v>
      </c>
      <c r="F142" s="20">
        <v>3.2136434692353874E-2</v>
      </c>
      <c r="G142" s="20">
        <v>3.2017504484220055E-2</v>
      </c>
      <c r="H142" s="19"/>
      <c r="I142" s="27">
        <f t="shared" si="2"/>
        <v>5.56</v>
      </c>
      <c r="J142" s="20">
        <v>4.8990912481139751E-3</v>
      </c>
      <c r="K142" s="20">
        <v>4.9255582765431963E-3</v>
      </c>
    </row>
    <row r="143" spans="2:11" ht="16.2" x14ac:dyDescent="0.3">
      <c r="B143"/>
      <c r="C143"/>
      <c r="D143" s="19"/>
      <c r="E143" s="27">
        <v>5.6</v>
      </c>
      <c r="F143" s="20">
        <v>3.2332398342278433E-2</v>
      </c>
      <c r="G143" s="20">
        <v>3.2213871802687664E-2</v>
      </c>
      <c r="H143" s="19"/>
      <c r="I143" s="27">
        <f t="shared" si="2"/>
        <v>5.6</v>
      </c>
      <c r="J143" s="20">
        <v>4.8662180697474008E-3</v>
      </c>
      <c r="K143" s="20">
        <v>4.8927910465811847E-3</v>
      </c>
    </row>
    <row r="144" spans="2:11" ht="16.2" x14ac:dyDescent="0.3">
      <c r="B144"/>
      <c r="C144"/>
      <c r="D144" s="19"/>
      <c r="E144" s="27">
        <v>5.64</v>
      </c>
      <c r="F144" s="20">
        <v>3.2527047065068329E-2</v>
      </c>
      <c r="G144" s="20">
        <v>3.2408926417831045E-2</v>
      </c>
      <c r="H144" s="19"/>
      <c r="I144" s="27">
        <f t="shared" si="2"/>
        <v>5.64</v>
      </c>
      <c r="J144" s="20">
        <v>4.8332394132632669E-3</v>
      </c>
      <c r="K144" s="20">
        <v>4.8599225579189567E-3</v>
      </c>
    </row>
    <row r="145" spans="2:11" ht="16.2" x14ac:dyDescent="0.3">
      <c r="B145"/>
      <c r="C145"/>
      <c r="D145" s="19"/>
      <c r="E145" s="27">
        <v>5.68</v>
      </c>
      <c r="F145" s="20">
        <v>3.272037664159886E-2</v>
      </c>
      <c r="G145" s="20">
        <v>3.2602664213004839E-2</v>
      </c>
      <c r="H145" s="19"/>
      <c r="I145" s="27">
        <f t="shared" si="2"/>
        <v>5.68</v>
      </c>
      <c r="J145" s="20">
        <v>4.8001519597450776E-3</v>
      </c>
      <c r="K145" s="20">
        <v>4.8269494954879645E-3</v>
      </c>
    </row>
    <row r="146" spans="2:11" ht="16.2" x14ac:dyDescent="0.3">
      <c r="B146"/>
      <c r="C146"/>
      <c r="D146" s="19"/>
      <c r="E146" s="27">
        <v>5.72</v>
      </c>
      <c r="F146" s="20">
        <v>3.2912382719988663E-2</v>
      </c>
      <c r="G146" s="20">
        <v>3.2795080938935718E-2</v>
      </c>
      <c r="H146" s="19"/>
      <c r="I146" s="27">
        <f t="shared" si="2"/>
        <v>5.72</v>
      </c>
      <c r="J146" s="20">
        <v>4.7669523893104429E-3</v>
      </c>
      <c r="K146" s="20">
        <v>4.7938685429334219E-3</v>
      </c>
    </row>
    <row r="147" spans="2:11" ht="16.2" x14ac:dyDescent="0.3">
      <c r="B147"/>
      <c r="C147"/>
      <c r="D147" s="19"/>
      <c r="E147" s="27">
        <v>5.76</v>
      </c>
      <c r="F147" s="20">
        <v>3.3103060815561081E-2</v>
      </c>
      <c r="G147" s="20">
        <v>3.298617221366814E-2</v>
      </c>
      <c r="H147" s="19"/>
      <c r="I147" s="27">
        <f t="shared" si="2"/>
        <v>5.76</v>
      </c>
      <c r="J147" s="20">
        <v>4.7336373793820802E-3</v>
      </c>
      <c r="K147" s="20">
        <v>4.7606763824739416E-3</v>
      </c>
    </row>
    <row r="148" spans="2:11" ht="16.2" x14ac:dyDescent="0.3">
      <c r="B148"/>
      <c r="C148"/>
      <c r="D148" s="19"/>
      <c r="E148" s="27">
        <v>5.8</v>
      </c>
      <c r="F148" s="20">
        <v>3.3292406310736364E-2</v>
      </c>
      <c r="G148" s="20">
        <v>3.3175933522504468E-2</v>
      </c>
      <c r="H148" s="19"/>
      <c r="I148" s="27">
        <f t="shared" si="2"/>
        <v>5.8</v>
      </c>
      <c r="J148" s="20">
        <v>4.7002036067734718E-3</v>
      </c>
      <c r="K148" s="20">
        <v>4.7273696947691584E-3</v>
      </c>
    </row>
    <row r="149" spans="2:11" ht="16.2" x14ac:dyDescent="0.3">
      <c r="B149"/>
      <c r="C149"/>
      <c r="D149" s="19"/>
      <c r="E149" s="27">
        <v>5.84</v>
      </c>
      <c r="F149" s="20">
        <v>3.3480414455007303E-2</v>
      </c>
      <c r="G149" s="20">
        <v>3.336436021794021E-2</v>
      </c>
      <c r="H149" s="19"/>
      <c r="I149" s="27">
        <f t="shared" si="2"/>
        <v>5.84</v>
      </c>
      <c r="J149" s="20">
        <v>4.6666477462856473E-3</v>
      </c>
      <c r="K149" s="20">
        <v>4.6939451587953715E-3</v>
      </c>
    </row>
    <row r="150" spans="2:11" ht="16.2" x14ac:dyDescent="0.3">
      <c r="B150"/>
      <c r="C150"/>
      <c r="D150" s="19"/>
      <c r="E150" s="27">
        <v>5.88</v>
      </c>
      <c r="F150" s="20">
        <v>3.3667080364858729E-2</v>
      </c>
      <c r="G150" s="20">
        <v>3.3551447519594366E-2</v>
      </c>
      <c r="H150" s="19"/>
      <c r="I150" s="27">
        <f t="shared" si="2"/>
        <v>5.88</v>
      </c>
      <c r="J150" s="20">
        <v>4.6329664694481215E-3</v>
      </c>
      <c r="K150" s="20">
        <v>4.660399451729311E-3</v>
      </c>
    </row>
    <row r="151" spans="2:11" ht="16.2" x14ac:dyDescent="0.3">
      <c r="B151"/>
      <c r="C151"/>
      <c r="D151" s="19"/>
      <c r="E151" s="27">
        <v>5.92</v>
      </c>
      <c r="F151" s="20">
        <v>3.3852399023636653E-2</v>
      </c>
      <c r="G151" s="20">
        <v>3.3737190514135144E-2</v>
      </c>
      <c r="H151" s="19"/>
      <c r="I151" s="27">
        <f t="shared" si="2"/>
        <v>5.92</v>
      </c>
      <c r="J151" s="20">
        <v>4.5991564477902355E-3</v>
      </c>
      <c r="K151" s="20">
        <v>4.6267292488400289E-3</v>
      </c>
    </row>
    <row r="152" spans="2:11" ht="16.2" x14ac:dyDescent="0.3">
      <c r="B152"/>
      <c r="C152"/>
      <c r="D152" s="19"/>
      <c r="E152" s="27">
        <v>5.96</v>
      </c>
      <c r="F152" s="20">
        <v>3.4036365281548263E-2</v>
      </c>
      <c r="G152" s="20">
        <v>3.3921584155201696E-2</v>
      </c>
      <c r="H152" s="19"/>
      <c r="I152" s="27">
        <f t="shared" si="2"/>
        <v>5.96</v>
      </c>
      <c r="J152" s="20">
        <v>4.5652143490020405E-3</v>
      </c>
      <c r="K152" s="20">
        <v>4.5929312233890891E-3</v>
      </c>
    </row>
    <row r="153" spans="2:11" ht="16.2" x14ac:dyDescent="0.3">
      <c r="B153"/>
      <c r="C153"/>
      <c r="D153" s="19"/>
      <c r="E153" s="27">
        <v>6</v>
      </c>
      <c r="F153" s="20">
        <v>3.4218973855508344E-2</v>
      </c>
      <c r="G153" s="20">
        <v>3.4104623263321927E-2</v>
      </c>
      <c r="H153" s="19"/>
      <c r="I153" s="27">
        <f t="shared" si="2"/>
        <v>6</v>
      </c>
      <c r="J153" s="20">
        <v>4.5311368391498866E-3</v>
      </c>
      <c r="K153" s="20">
        <v>4.5590020465390698E-3</v>
      </c>
    </row>
    <row r="154" spans="2:11" ht="16.2" x14ac:dyDescent="0.3">
      <c r="B154"/>
      <c r="C154"/>
      <c r="D154" s="19"/>
      <c r="E154" s="27">
        <v>6.04</v>
      </c>
      <c r="F154" s="20">
        <v>3.440021932907434E-2</v>
      </c>
      <c r="G154" s="20">
        <v>3.4286302525826921E-2</v>
      </c>
      <c r="H154" s="19"/>
      <c r="I154" s="27">
        <f t="shared" si="2"/>
        <v>6.04</v>
      </c>
      <c r="J154" s="20">
        <v>4.49692058253192E-3</v>
      </c>
      <c r="K154" s="20">
        <v>4.5249383872705187E-3</v>
      </c>
    </row>
    <row r="155" spans="2:11" ht="16.2" x14ac:dyDescent="0.3">
      <c r="B155"/>
      <c r="C155"/>
      <c r="D155" s="19"/>
      <c r="E155" s="27">
        <v>6.08</v>
      </c>
      <c r="F155" s="20">
        <v>3.4580096152375617E-2</v>
      </c>
      <c r="G155" s="20">
        <v>3.4466616496761998E-2</v>
      </c>
      <c r="H155" s="19"/>
      <c r="I155" s="27">
        <f t="shared" si="2"/>
        <v>6.08</v>
      </c>
      <c r="J155" s="20">
        <v>4.4625622399225434E-3</v>
      </c>
      <c r="K155" s="20">
        <v>4.4907369123073507E-3</v>
      </c>
    </row>
    <row r="156" spans="2:11" ht="16.2" x14ac:dyDescent="0.3">
      <c r="B156"/>
      <c r="C156"/>
      <c r="D156" s="19"/>
      <c r="E156" s="27">
        <v>6.12</v>
      </c>
      <c r="F156" s="20">
        <v>3.4758598641972518E-2</v>
      </c>
      <c r="G156" s="20">
        <v>3.4645559596795314E-2</v>
      </c>
      <c r="H156" s="19"/>
      <c r="I156" s="27">
        <f t="shared" si="2"/>
        <v>6.12</v>
      </c>
      <c r="J156" s="20">
        <v>4.4280584703626502E-3</v>
      </c>
      <c r="K156" s="20">
        <v>4.456394286050931E-3</v>
      </c>
    </row>
    <row r="157" spans="2:11" ht="16.2" x14ac:dyDescent="0.3">
      <c r="B157"/>
      <c r="C157"/>
      <c r="D157" s="19"/>
      <c r="E157" s="27">
        <v>6.16</v>
      </c>
      <c r="F157" s="20">
        <v>3.4935720980787024E-2</v>
      </c>
      <c r="G157" s="20">
        <v>3.482312611312352E-2</v>
      </c>
      <c r="H157" s="19"/>
      <c r="I157" s="27">
        <f t="shared" si="2"/>
        <v>6.16</v>
      </c>
      <c r="J157" s="20">
        <v>4.3934059306542997E-3</v>
      </c>
      <c r="K157" s="20">
        <v>4.4219071705227826E-3</v>
      </c>
    </row>
    <row r="158" spans="2:11" ht="16.2" x14ac:dyDescent="0.3">
      <c r="B158"/>
      <c r="C158"/>
      <c r="D158" s="19"/>
      <c r="E158" s="27">
        <v>6.2</v>
      </c>
      <c r="F158" s="20">
        <v>3.5111457218013196E-2</v>
      </c>
      <c r="G158" s="20">
        <v>3.4999310199375848E-2</v>
      </c>
      <c r="H158" s="19"/>
      <c r="I158" s="27">
        <f t="shared" si="2"/>
        <v>6.2</v>
      </c>
      <c r="J158" s="20">
        <v>4.3586012748642392E-3</v>
      </c>
      <c r="K158" s="20">
        <v>4.3872722253161314E-3</v>
      </c>
    </row>
    <row r="159" spans="2:11" ht="16.2" x14ac:dyDescent="0.3">
      <c r="B159"/>
      <c r="C159"/>
      <c r="D159" s="19"/>
      <c r="E159" s="27">
        <v>6.24</v>
      </c>
      <c r="F159" s="20">
        <v>3.5285801269007766E-2</v>
      </c>
      <c r="G159" s="20">
        <v>3.5174105875515893E-2</v>
      </c>
      <c r="H159" s="19"/>
      <c r="I159" s="27">
        <f t="shared" si="2"/>
        <v>6.24</v>
      </c>
      <c r="J159" s="20">
        <v>4.3236411537476288E-3</v>
      </c>
      <c r="K159" s="20">
        <v>4.3524861075563397E-3</v>
      </c>
    </row>
    <row r="160" spans="2:11" ht="16.2" x14ac:dyDescent="0.3">
      <c r="B160"/>
      <c r="C160"/>
      <c r="D160" s="19"/>
      <c r="E160" s="27">
        <v>6.28</v>
      </c>
      <c r="F160" s="20">
        <v>3.5458746915157671E-2</v>
      </c>
      <c r="G160" s="20">
        <v>3.5347507027742468E-2</v>
      </c>
      <c r="H160" s="19"/>
      <c r="I160" s="27">
        <f t="shared" si="2"/>
        <v>6.28</v>
      </c>
      <c r="J160" s="20">
        <v>4.2885222169787227E-3</v>
      </c>
      <c r="K160" s="20">
        <v>4.3175454718703231E-3</v>
      </c>
    </row>
    <row r="161" spans="2:11" ht="16.2" x14ac:dyDescent="0.3">
      <c r="B161"/>
      <c r="C161"/>
      <c r="D161" s="19"/>
      <c r="E161" s="27">
        <v>6.32</v>
      </c>
      <c r="F161" s="20">
        <v>3.563028780383682E-2</v>
      </c>
      <c r="G161" s="20">
        <v>3.5519507408389057E-2</v>
      </c>
      <c r="H161" s="19"/>
      <c r="I161" s="27">
        <f t="shared" si="2"/>
        <v>6.32</v>
      </c>
      <c r="J161" s="20">
        <v>4.2532411106641424E-3</v>
      </c>
      <c r="K161" s="20">
        <v>4.2824469703650917E-3</v>
      </c>
    </row>
    <row r="162" spans="2:11" ht="16.2" x14ac:dyDescent="0.3">
      <c r="B162"/>
      <c r="C162"/>
      <c r="D162" s="19"/>
      <c r="E162" s="27">
        <v>6.36</v>
      </c>
      <c r="F162" s="20">
        <v>3.5800417448263386E-2</v>
      </c>
      <c r="G162" s="20">
        <v>3.5690100635822869E-2</v>
      </c>
      <c r="H162" s="19"/>
      <c r="I162" s="27">
        <f t="shared" si="2"/>
        <v>6.36</v>
      </c>
      <c r="J162" s="20">
        <v>4.2177944781120538E-3</v>
      </c>
      <c r="K162" s="20">
        <v>4.2471872526155157E-3</v>
      </c>
    </row>
    <row r="163" spans="2:11" ht="16.2" x14ac:dyDescent="0.3">
      <c r="B163"/>
      <c r="C163"/>
      <c r="D163" s="19"/>
      <c r="E163" s="27">
        <v>6.4</v>
      </c>
      <c r="F163" s="20">
        <v>3.5969129227387868E-2</v>
      </c>
      <c r="G163" s="20">
        <v>3.5859280194343375E-2</v>
      </c>
      <c r="H163" s="19"/>
      <c r="I163" s="27">
        <f t="shared" si="2"/>
        <v>6.4</v>
      </c>
      <c r="J163" s="20">
        <v>4.1821789611691182E-3</v>
      </c>
      <c r="K163" s="20">
        <v>4.2117629656614293E-3</v>
      </c>
    </row>
    <row r="164" spans="2:11" ht="16.2" x14ac:dyDescent="0.3">
      <c r="B164"/>
      <c r="C164"/>
      <c r="D164" s="19"/>
      <c r="E164" s="27">
        <v>6.44</v>
      </c>
      <c r="F164" s="20">
        <v>3.6136416385834633E-2</v>
      </c>
      <c r="G164" s="20">
        <v>3.6027039434080997E-2</v>
      </c>
      <c r="H164" s="19"/>
      <c r="I164" s="27">
        <f t="shared" si="2"/>
        <v>6.44</v>
      </c>
      <c r="J164" s="20">
        <v>4.1463911986059851E-3</v>
      </c>
      <c r="K164" s="20">
        <v>4.1761707540141592E-3</v>
      </c>
    </row>
    <row r="165" spans="2:11" ht="16.2" x14ac:dyDescent="0.3">
      <c r="B165"/>
      <c r="C165"/>
      <c r="D165" s="19"/>
      <c r="E165" s="27">
        <v>6.48</v>
      </c>
      <c r="F165" s="20">
        <v>3.6302272033778872E-2</v>
      </c>
      <c r="G165" s="20">
        <v>3.6193371570896353E-2</v>
      </c>
      <c r="H165" s="19"/>
      <c r="I165" s="27">
        <f t="shared" si="2"/>
        <v>6.48</v>
      </c>
      <c r="J165" s="20">
        <v>4.1104278257500515E-3</v>
      </c>
      <c r="K165" s="20">
        <v>4.1404072596726554E-3</v>
      </c>
    </row>
    <row r="166" spans="2:11" ht="16.2" x14ac:dyDescent="0.3">
      <c r="B166"/>
      <c r="C166"/>
      <c r="D166" s="19"/>
      <c r="E166" s="27">
        <v>6.52</v>
      </c>
      <c r="F166" s="20">
        <v>3.6466689146808874E-2</v>
      </c>
      <c r="G166" s="20">
        <v>3.6358269686280142E-2</v>
      </c>
      <c r="H166" s="19"/>
      <c r="I166" s="27">
        <f t="shared" si="2"/>
        <v>6.52</v>
      </c>
      <c r="J166" s="20">
        <v>4.0742854771055881E-3</v>
      </c>
      <c r="K166" s="20">
        <v>4.104469122149324E-3</v>
      </c>
    </row>
    <row r="167" spans="2:11" ht="16.2" x14ac:dyDescent="0.3">
      <c r="B167"/>
      <c r="C167"/>
      <c r="D167" s="19"/>
      <c r="E167" s="27">
        <v>6.56</v>
      </c>
      <c r="F167" s="20">
        <v>3.6629660565893098E-2</v>
      </c>
      <c r="G167" s="20">
        <v>3.6521726727254407E-2</v>
      </c>
      <c r="H167" s="19"/>
      <c r="I167" s="27">
        <f t="shared" si="2"/>
        <v>6.56</v>
      </c>
      <c r="J167" s="20">
        <v>4.0379607839024015E-3</v>
      </c>
      <c r="K167" s="20">
        <v>4.0683529785056731E-3</v>
      </c>
    </row>
    <row r="168" spans="2:11" ht="16.2" x14ac:dyDescent="0.3">
      <c r="B168"/>
      <c r="C168"/>
      <c r="D168" s="19"/>
      <c r="E168" s="27">
        <v>6.6</v>
      </c>
      <c r="F168" s="20">
        <v>3.6791178997249194E-2</v>
      </c>
      <c r="G168" s="20">
        <v>3.668373550627544E-2</v>
      </c>
      <c r="H168" s="19"/>
      <c r="I168" s="27">
        <f t="shared" si="2"/>
        <v>6.6</v>
      </c>
      <c r="J168" s="20">
        <v>4.0014503745411378E-3</v>
      </c>
      <c r="K168" s="20">
        <v>4.0320554633979065E-3</v>
      </c>
    </row>
    <row r="169" spans="2:11" ht="16.2" x14ac:dyDescent="0.3">
      <c r="B169"/>
      <c r="C169"/>
      <c r="D169" s="19"/>
      <c r="E169" s="27">
        <v>6.64</v>
      </c>
      <c r="F169" s="20">
        <v>3.6951237012230839E-2</v>
      </c>
      <c r="G169" s="20">
        <v>3.6844288701138511E-2</v>
      </c>
      <c r="H169" s="19"/>
      <c r="I169" s="27">
        <f t="shared" si="2"/>
        <v>6.64</v>
      </c>
      <c r="J169" s="20">
        <v>3.9647508765498773E-3</v>
      </c>
      <c r="K169" s="20">
        <v>3.9955732091326197E-3</v>
      </c>
    </row>
    <row r="170" spans="2:11" ht="16.2" x14ac:dyDescent="0.3">
      <c r="B170"/>
      <c r="C170"/>
      <c r="D170" s="19"/>
      <c r="E170" s="27">
        <v>6.68</v>
      </c>
      <c r="F170" s="20">
        <v>3.7109827047292834E-2</v>
      </c>
      <c r="G170" s="20">
        <v>3.7003378854885256E-2</v>
      </c>
      <c r="H170" s="19"/>
      <c r="I170" s="27">
        <f t="shared" si="2"/>
        <v>6.68</v>
      </c>
      <c r="J170" s="20">
        <v>3.9278589135979813E-3</v>
      </c>
      <c r="K170" s="20">
        <v>3.958902845732735E-3</v>
      </c>
    </row>
    <row r="171" spans="2:11" ht="16.2" x14ac:dyDescent="0.3">
      <c r="B171"/>
      <c r="C171"/>
      <c r="D171" s="19"/>
      <c r="E171" s="27">
        <v>6.72</v>
      </c>
      <c r="F171" s="20">
        <v>3.7266941403836754E-2</v>
      </c>
      <c r="G171" s="20">
        <v>3.7160998375713815E-2</v>
      </c>
      <c r="H171" s="19"/>
      <c r="I171" s="27">
        <f t="shared" si="2"/>
        <v>6.72</v>
      </c>
      <c r="J171" s="20">
        <v>3.8907711083391305E-3</v>
      </c>
      <c r="K171" s="20">
        <v>3.9220410010137648E-3</v>
      </c>
    </row>
    <row r="172" spans="2:11" ht="16.2" x14ac:dyDescent="0.3">
      <c r="B172"/>
      <c r="C172"/>
      <c r="D172" s="19"/>
      <c r="E172" s="27">
        <v>6.76</v>
      </c>
      <c r="F172" s="20">
        <v>3.7422572248170319E-2</v>
      </c>
      <c r="G172" s="20">
        <v>3.7317139536892245E-2</v>
      </c>
      <c r="H172" s="19"/>
      <c r="I172" s="27">
        <f t="shared" si="2"/>
        <v>6.76</v>
      </c>
      <c r="J172" s="20">
        <v>3.8534840812547849E-3</v>
      </c>
      <c r="K172" s="20">
        <v>3.8849843006706197E-3</v>
      </c>
    </row>
    <row r="173" spans="2:11" ht="16.2" x14ac:dyDescent="0.3">
      <c r="B173"/>
      <c r="C173"/>
      <c r="D173" s="19"/>
      <c r="E173" s="27">
        <v>6.8</v>
      </c>
      <c r="F173" s="20">
        <v>3.757671161142051E-2</v>
      </c>
      <c r="G173" s="20">
        <v>3.7471794476675598E-2</v>
      </c>
      <c r="H173" s="19"/>
      <c r="I173" s="27">
        <f t="shared" si="2"/>
        <v>6.8</v>
      </c>
      <c r="J173" s="20">
        <v>3.8159944507658999E-3</v>
      </c>
      <c r="K173" s="20">
        <v>3.8477293683750451E-3</v>
      </c>
    </row>
    <row r="174" spans="2:11" ht="16.2" x14ac:dyDescent="0.3">
      <c r="B174"/>
      <c r="C174"/>
      <c r="D174" s="19"/>
      <c r="E174" s="27">
        <v>6.84</v>
      </c>
      <c r="F174" s="20">
        <v>3.7729351389451146E-2</v>
      </c>
      <c r="G174" s="20">
        <v>3.7624955198227103E-2</v>
      </c>
      <c r="H174" s="19"/>
      <c r="I174" s="27">
        <f t="shared" si="2"/>
        <v>6.84</v>
      </c>
      <c r="J174" s="20">
        <v>3.7782988327177136E-3</v>
      </c>
      <c r="K174" s="20">
        <v>3.8102728258838856E-3</v>
      </c>
    </row>
    <row r="175" spans="2:11" ht="16.2" x14ac:dyDescent="0.3">
      <c r="B175"/>
      <c r="C175"/>
      <c r="D175" s="19"/>
      <c r="E175" s="27">
        <v>6.88</v>
      </c>
      <c r="F175" s="20">
        <v>3.7880483342759855E-2</v>
      </c>
      <c r="G175" s="20">
        <v>3.7776613569543933E-2</v>
      </c>
      <c r="H175" s="19"/>
      <c r="I175" s="27">
        <f t="shared" si="2"/>
        <v>6.88</v>
      </c>
      <c r="J175" s="20">
        <v>3.7403938432913064E-3</v>
      </c>
      <c r="K175" s="20">
        <v>3.7726112931582585E-3</v>
      </c>
    </row>
    <row r="176" spans="2:11" ht="16.2" x14ac:dyDescent="0.3">
      <c r="B176"/>
      <c r="C176"/>
      <c r="D176" s="19"/>
      <c r="E176" s="27">
        <v>6.92</v>
      </c>
      <c r="F176" s="20">
        <v>3.8030099096491507E-2</v>
      </c>
      <c r="G176" s="20">
        <v>3.7926761323387952E-2</v>
      </c>
      <c r="H176" s="19"/>
      <c r="I176" s="27">
        <f t="shared" si="2"/>
        <v>6.92</v>
      </c>
      <c r="J176" s="20">
        <v>3.7022760953436817E-3</v>
      </c>
      <c r="K176" s="20">
        <v>3.7347413884938761E-3</v>
      </c>
    </row>
    <row r="177" spans="2:11" ht="16.2" x14ac:dyDescent="0.3">
      <c r="B177"/>
      <c r="C177"/>
      <c r="D177" s="19"/>
      <c r="E177" s="27">
        <v>6.96</v>
      </c>
      <c r="F177" s="20">
        <v>3.8178190140305254E-2</v>
      </c>
      <c r="G177" s="20">
        <v>3.8075390057221832E-2</v>
      </c>
      <c r="H177" s="19"/>
      <c r="I177" s="27">
        <f t="shared" si="2"/>
        <v>6.96</v>
      </c>
      <c r="J177" s="20">
        <v>3.6639422010213002E-3</v>
      </c>
      <c r="K177" s="20">
        <v>3.6966597286626039E-3</v>
      </c>
    </row>
    <row r="178" spans="2:11" ht="16.2" x14ac:dyDescent="0.3">
      <c r="B178"/>
      <c r="C178"/>
      <c r="D178" s="19"/>
      <c r="E178" s="27">
        <v>7</v>
      </c>
      <c r="F178" s="20">
        <v>3.8324747828346106E-2</v>
      </c>
      <c r="G178" s="20">
        <v>3.8222491233151273E-2</v>
      </c>
      <c r="H178" s="19"/>
      <c r="I178" s="27">
        <f t="shared" si="2"/>
        <v>7</v>
      </c>
      <c r="J178" s="20">
        <v>3.6253887712146826E-3</v>
      </c>
      <c r="K178" s="20">
        <v>3.6583629290654765E-3</v>
      </c>
    </row>
    <row r="179" spans="2:11" ht="16.2" x14ac:dyDescent="0.3">
      <c r="B179"/>
      <c r="C179"/>
      <c r="D179" s="19"/>
      <c r="E179" s="27">
        <v>7.04</v>
      </c>
      <c r="F179" s="20">
        <v>3.8469763379194694E-2</v>
      </c>
      <c r="G179" s="20">
        <v>3.8368056177873242E-2</v>
      </c>
      <c r="H179" s="19"/>
      <c r="I179" s="27">
        <f t="shared" si="2"/>
        <v>7.04</v>
      </c>
      <c r="J179" s="20">
        <v>3.5866124166184996E-3</v>
      </c>
      <c r="K179" s="20">
        <v>3.6198476038972385E-3</v>
      </c>
    </row>
    <row r="180" spans="2:11" ht="16.2" x14ac:dyDescent="0.3">
      <c r="B180"/>
      <c r="C180"/>
      <c r="D180" s="19"/>
      <c r="E180" s="27">
        <v>7.08</v>
      </c>
      <c r="F180" s="20">
        <v>3.8613227875859434E-2</v>
      </c>
      <c r="G180" s="20">
        <v>3.8512076082631332E-2</v>
      </c>
      <c r="H180" s="19"/>
      <c r="I180" s="27">
        <f t="shared" si="2"/>
        <v>7.08</v>
      </c>
      <c r="J180" s="20">
        <v>3.5476097448071744E-3</v>
      </c>
      <c r="K180" s="20">
        <v>3.5811103663226786E-3</v>
      </c>
    </row>
    <row r="181" spans="2:11" ht="16.2" x14ac:dyDescent="0.3">
      <c r="B181"/>
      <c r="C181"/>
      <c r="D181" s="19"/>
      <c r="E181" s="27">
        <v>7.12</v>
      </c>
      <c r="F181" s="20">
        <v>3.8755132265651721E-2</v>
      </c>
      <c r="G181" s="20">
        <v>3.8654542003178242E-2</v>
      </c>
      <c r="H181" s="19"/>
      <c r="I181" s="27">
        <f t="shared" si="2"/>
        <v>7.12</v>
      </c>
      <c r="J181" s="20">
        <v>3.5083773666759119E-3</v>
      </c>
      <c r="K181" s="20">
        <v>3.5421478286648865E-3</v>
      </c>
    </row>
    <row r="182" spans="2:11" ht="16.2" x14ac:dyDescent="0.3">
      <c r="B182"/>
      <c r="C182"/>
      <c r="D182" s="19"/>
      <c r="E182" s="27">
        <v>7.16</v>
      </c>
      <c r="F182" s="20">
        <v>3.8895467360318757E-2</v>
      </c>
      <c r="G182" s="20">
        <v>3.879544485974603E-2</v>
      </c>
      <c r="H182" s="19"/>
      <c r="I182" s="27">
        <f t="shared" si="2"/>
        <v>7.16</v>
      </c>
      <c r="J182" s="20">
        <v>3.4689118880963307E-3</v>
      </c>
      <c r="K182" s="20">
        <v>3.5029566026055512E-3</v>
      </c>
    </row>
    <row r="183" spans="2:11" ht="16.2" x14ac:dyDescent="0.3">
      <c r="B183"/>
      <c r="C183"/>
      <c r="D183" s="19"/>
      <c r="E183" s="27">
        <v>7.2</v>
      </c>
      <c r="F183" s="20">
        <v>3.903422383584261E-2</v>
      </c>
      <c r="G183" s="20">
        <v>3.893477543702481E-2</v>
      </c>
      <c r="H183" s="19"/>
      <c r="I183" s="27">
        <f t="shared" si="2"/>
        <v>7.2</v>
      </c>
      <c r="J183" s="20">
        <v>3.4292099186325822E-3</v>
      </c>
      <c r="K183" s="20">
        <v>3.4635332993975848E-3</v>
      </c>
    </row>
    <row r="184" spans="2:11" ht="16.2" x14ac:dyDescent="0.3">
      <c r="B184"/>
      <c r="C184"/>
      <c r="D184" s="19"/>
      <c r="E184" s="27">
        <v>7.24</v>
      </c>
      <c r="F184" s="20">
        <v>3.9171392232587914E-2</v>
      </c>
      <c r="G184" s="20">
        <v>3.9072524384149834E-2</v>
      </c>
      <c r="H184" s="19"/>
      <c r="I184" s="27">
        <f t="shared" si="2"/>
        <v>7.24</v>
      </c>
      <c r="J184" s="20">
        <v>3.389268066178279E-3</v>
      </c>
      <c r="K184" s="20">
        <v>3.4238745300900881E-3</v>
      </c>
    </row>
    <row r="185" spans="2:11" ht="16.2" x14ac:dyDescent="0.3">
      <c r="B185"/>
      <c r="C185"/>
      <c r="D185" s="19"/>
      <c r="E185" s="27">
        <v>7.28</v>
      </c>
      <c r="F185" s="20">
        <v>3.9306962955235045E-2</v>
      </c>
      <c r="G185" s="20">
        <v>3.9208682214698309E-2</v>
      </c>
      <c r="H185" s="19"/>
      <c r="I185" s="27">
        <f t="shared" si="2"/>
        <v>7.28</v>
      </c>
      <c r="J185" s="20">
        <v>3.3490829382434861E-3</v>
      </c>
      <c r="K185" s="20">
        <v>3.383976905766022E-3</v>
      </c>
    </row>
    <row r="186" spans="2:11" ht="16.2" x14ac:dyDescent="0.3">
      <c r="B186"/>
      <c r="C186"/>
      <c r="D186" s="19"/>
      <c r="E186" s="27">
        <v>7.32</v>
      </c>
      <c r="F186" s="20">
        <v>3.9440926272764784E-2</v>
      </c>
      <c r="G186" s="20">
        <v>3.9343239306695546E-2</v>
      </c>
      <c r="H186" s="19"/>
      <c r="I186" s="27">
        <f t="shared" si="2"/>
        <v>7.32</v>
      </c>
      <c r="J186" s="20">
        <v>3.3086511452883396E-3</v>
      </c>
      <c r="K186" s="20">
        <v>3.3438370377926003E-3</v>
      </c>
    </row>
    <row r="187" spans="2:11" ht="16.2" x14ac:dyDescent="0.3">
      <c r="B187"/>
      <c r="C187"/>
      <c r="D187" s="19"/>
      <c r="E187" s="27">
        <v>7.36</v>
      </c>
      <c r="F187" s="20">
        <v>3.9573272318576318E-2</v>
      </c>
      <c r="G187" s="20">
        <v>3.9476185902631543E-2</v>
      </c>
      <c r="H187" s="19"/>
      <c r="I187" s="27">
        <f t="shared" si="2"/>
        <v>7.36</v>
      </c>
      <c r="J187" s="20">
        <v>3.2679692963308998E-3</v>
      </c>
      <c r="K187" s="20">
        <v>3.3034515380846916E-3</v>
      </c>
    </row>
    <row r="188" spans="2:11" ht="16.2" x14ac:dyDescent="0.3">
      <c r="B188"/>
      <c r="C188"/>
      <c r="D188" s="19"/>
      <c r="E188" s="27">
        <v>7.4</v>
      </c>
      <c r="F188" s="20">
        <v>3.9703991090429554E-2</v>
      </c>
      <c r="G188" s="20">
        <v>3.9607512109488568E-2</v>
      </c>
      <c r="H188" s="19"/>
      <c r="I188" s="27">
        <f t="shared" si="2"/>
        <v>7.4</v>
      </c>
      <c r="J188" s="20">
        <v>3.2270340028672795E-3</v>
      </c>
      <c r="K188" s="20">
        <v>3.2628170193813549E-3</v>
      </c>
    </row>
    <row r="189" spans="2:11" ht="16.2" x14ac:dyDescent="0.3">
      <c r="B189"/>
      <c r="C189"/>
      <c r="D189" s="19"/>
      <c r="E189" s="27">
        <v>7.44</v>
      </c>
      <c r="F189" s="20">
        <v>3.9833072450544245E-2</v>
      </c>
      <c r="G189" s="20">
        <v>3.9737207898779561E-2</v>
      </c>
      <c r="H189" s="19"/>
      <c r="I189" s="27">
        <f t="shared" si="2"/>
        <v>7.44</v>
      </c>
      <c r="J189" s="20">
        <v>3.1858418778127687E-3</v>
      </c>
      <c r="K189" s="20">
        <v>3.2219300955357122E-3</v>
      </c>
    </row>
    <row r="190" spans="2:11" ht="16.2" x14ac:dyDescent="0.3">
      <c r="B190"/>
      <c r="C190"/>
      <c r="D190" s="19"/>
      <c r="E190" s="27">
        <v>7.48</v>
      </c>
      <c r="F190" s="20">
        <v>3.9960506125656756E-2</v>
      </c>
      <c r="G190" s="20">
        <v>3.986526310659904E-2</v>
      </c>
      <c r="H190" s="19"/>
      <c r="I190" s="27">
        <f t="shared" si="2"/>
        <v>7.48</v>
      </c>
      <c r="J190" s="20">
        <v>3.1443895353347809E-3</v>
      </c>
      <c r="K190" s="20">
        <v>3.1807873818183777E-3</v>
      </c>
    </row>
    <row r="191" spans="2:11" ht="16.2" x14ac:dyDescent="0.3">
      <c r="B191"/>
      <c r="C191"/>
      <c r="D191" s="19"/>
      <c r="E191" s="27">
        <v>7.52</v>
      </c>
      <c r="F191" s="20">
        <v>4.0086281707070147E-2</v>
      </c>
      <c r="G191" s="20">
        <v>3.999166743368588E-2</v>
      </c>
      <c r="H191" s="19"/>
      <c r="I191" s="27">
        <f t="shared" si="2"/>
        <v>7.52</v>
      </c>
      <c r="J191" s="20">
        <v>3.1026735917528275E-3</v>
      </c>
      <c r="K191" s="20">
        <v>3.1393854952345814E-3</v>
      </c>
    </row>
    <row r="192" spans="2:11" ht="16.2" x14ac:dyDescent="0.3">
      <c r="B192"/>
      <c r="C192"/>
      <c r="D192" s="19"/>
      <c r="E192" s="27">
        <v>7.56</v>
      </c>
      <c r="F192" s="20">
        <v>4.021038865074026E-2</v>
      </c>
      <c r="G192" s="20">
        <v>4.0116410445499462E-2</v>
      </c>
      <c r="H192" s="19"/>
      <c r="I192" s="27">
        <f t="shared" si="2"/>
        <v>7.56</v>
      </c>
      <c r="J192" s="20">
        <v>3.0606906671148612E-3</v>
      </c>
      <c r="K192" s="20">
        <v>3.0977210548552153E-3</v>
      </c>
    </row>
    <row r="193" spans="2:11" ht="16.2" x14ac:dyDescent="0.3">
      <c r="B193"/>
      <c r="C193"/>
      <c r="D193" s="19"/>
      <c r="E193" s="27">
        <v>7.6</v>
      </c>
      <c r="F193" s="20">
        <v>4.0332816277424854E-2</v>
      </c>
      <c r="G193" s="20">
        <v>4.0239481572308888E-2</v>
      </c>
      <c r="H193" s="19"/>
      <c r="I193" s="27">
        <f t="shared" si="2"/>
        <v>7.6</v>
      </c>
      <c r="J193" s="20">
        <v>3.0184373830380654E-3</v>
      </c>
      <c r="K193" s="20">
        <v>3.0557906821619464E-3</v>
      </c>
    </row>
    <row r="194" spans="2:11" ht="16.2" x14ac:dyDescent="0.3">
      <c r="B194"/>
      <c r="C194"/>
      <c r="D194" s="19"/>
      <c r="E194" s="27">
        <v>7.64</v>
      </c>
      <c r="F194" s="20">
        <v>4.0453553772746377E-2</v>
      </c>
      <c r="G194" s="20">
        <v>4.0360870109296849E-2</v>
      </c>
      <c r="H194" s="19"/>
      <c r="I194" s="27">
        <f t="shared" si="2"/>
        <v>7.64</v>
      </c>
      <c r="J194" s="20">
        <v>2.9759103640574283E-3</v>
      </c>
      <c r="K194" s="20">
        <v>3.0135910014066772E-3</v>
      </c>
    </row>
    <row r="195" spans="2:11" ht="16.2" x14ac:dyDescent="0.3">
      <c r="B195"/>
      <c r="C195"/>
      <c r="D195" s="19"/>
      <c r="E195" s="27">
        <v>7.68</v>
      </c>
      <c r="F195" s="20">
        <v>4.0572590187308674E-2</v>
      </c>
      <c r="G195" s="20">
        <v>4.0480565216677644E-2</v>
      </c>
      <c r="H195" s="19"/>
      <c r="I195" s="27">
        <f t="shared" si="2"/>
        <v>7.68</v>
      </c>
      <c r="J195" s="20">
        <v>2.9331062406432948E-3</v>
      </c>
      <c r="K195" s="20">
        <v>2.9711186399854752E-3</v>
      </c>
    </row>
    <row r="196" spans="2:11" ht="16.2" x14ac:dyDescent="0.3">
      <c r="B196"/>
      <c r="C196"/>
      <c r="D196" s="19"/>
      <c r="E196" s="27">
        <v>7.72</v>
      </c>
      <c r="F196" s="20">
        <v>4.0689914436934406E-2</v>
      </c>
      <c r="G196" s="20">
        <v>4.0598555919830762E-2</v>
      </c>
      <c r="H196" s="19"/>
      <c r="I196" s="27">
        <f t="shared" ref="I196:I259" si="3">IF(E196&lt;&gt;"",E196,"")</f>
        <v>7.72</v>
      </c>
      <c r="J196" s="20">
        <v>2.8900216438797546E-3</v>
      </c>
      <c r="K196" s="20">
        <v>2.9283702288272085E-3</v>
      </c>
    </row>
    <row r="197" spans="2:11" ht="16.2" x14ac:dyDescent="0.3">
      <c r="B197"/>
      <c r="C197"/>
      <c r="D197" s="19"/>
      <c r="E197" s="27">
        <v>7.76</v>
      </c>
      <c r="F197" s="20">
        <v>4.0805515302689596E-2</v>
      </c>
      <c r="G197" s="20">
        <v>4.0714831109450261E-2</v>
      </c>
      <c r="H197" s="19"/>
      <c r="I197" s="27">
        <f t="shared" si="3"/>
        <v>7.76</v>
      </c>
      <c r="J197" s="20">
        <v>2.8466532129329744E-3</v>
      </c>
      <c r="K197" s="20">
        <v>2.8853424027970058E-3</v>
      </c>
    </row>
    <row r="198" spans="2:11" ht="16.2" x14ac:dyDescent="0.3">
      <c r="B198"/>
      <c r="C198"/>
      <c r="D198" s="19"/>
      <c r="E198" s="27">
        <v>7.8</v>
      </c>
      <c r="F198" s="20">
        <v>4.0919381431206915E-2</v>
      </c>
      <c r="G198" s="20">
        <v>4.082937954171037E-2</v>
      </c>
      <c r="H198" s="19"/>
      <c r="I198" s="27">
        <f t="shared" si="3"/>
        <v>7.8</v>
      </c>
      <c r="J198" s="20">
        <v>2.8029975893448245E-3</v>
      </c>
      <c r="K198" s="20">
        <v>2.8420318011149496E-3</v>
      </c>
    </row>
    <row r="199" spans="2:11" ht="16.2" x14ac:dyDescent="0.3">
      <c r="B199"/>
      <c r="C199"/>
      <c r="D199" s="19"/>
      <c r="E199" s="27">
        <v>7.84</v>
      </c>
      <c r="F199" s="20">
        <v>4.1031501334780708E-2</v>
      </c>
      <c r="G199" s="20">
        <v>4.0942189838448544E-2</v>
      </c>
      <c r="H199" s="19"/>
      <c r="I199" s="27">
        <f t="shared" si="3"/>
        <v>7.84</v>
      </c>
      <c r="J199" s="20">
        <v>2.7590514205156833E-3</v>
      </c>
      <c r="K199" s="20">
        <v>2.7984350677898655E-3</v>
      </c>
    </row>
    <row r="200" spans="2:11" ht="16.2" x14ac:dyDescent="0.3">
      <c r="B200"/>
      <c r="C200"/>
      <c r="D200" s="19"/>
      <c r="E200" s="27">
        <v>7.88</v>
      </c>
      <c r="F200" s="20">
        <v>4.1141863391601335E-2</v>
      </c>
      <c r="G200" s="20">
        <v>4.1053250487365765E-2</v>
      </c>
      <c r="H200" s="19"/>
      <c r="I200" s="27">
        <f t="shared" si="3"/>
        <v>7.88</v>
      </c>
      <c r="J200" s="20">
        <v>2.714811360760884E-3</v>
      </c>
      <c r="K200" s="20">
        <v>2.7545488520688069E-3</v>
      </c>
    </row>
    <row r="201" spans="2:11" ht="16.2" x14ac:dyDescent="0.3">
      <c r="B201"/>
      <c r="C201"/>
      <c r="D201" s="19"/>
      <c r="E201" s="27">
        <v>7.92</v>
      </c>
      <c r="F201" s="20">
        <v>4.1250455846031771E-2</v>
      </c>
      <c r="G201" s="20">
        <v>4.116254984224535E-2</v>
      </c>
      <c r="H201" s="19"/>
      <c r="I201" s="27">
        <f t="shared" si="3"/>
        <v>7.92</v>
      </c>
      <c r="J201" s="20">
        <v>2.6702740695713073E-3</v>
      </c>
      <c r="K201" s="20">
        <v>2.7103698089021109E-3</v>
      </c>
    </row>
    <row r="202" spans="2:11" ht="16.2" x14ac:dyDescent="0.3">
      <c r="B202"/>
      <c r="C202"/>
      <c r="D202" s="19"/>
      <c r="E202" s="27">
        <v>7.96</v>
      </c>
      <c r="F202" s="20">
        <v>4.1357266808814623E-2</v>
      </c>
      <c r="G202" s="20">
        <v>4.1270076123190794E-2</v>
      </c>
      <c r="H202" s="19"/>
      <c r="I202" s="27">
        <f t="shared" si="3"/>
        <v>7.96</v>
      </c>
      <c r="J202" s="20">
        <v>2.6254362137633977E-3</v>
      </c>
      <c r="K202" s="20">
        <v>2.6658945994243273E-3</v>
      </c>
    </row>
    <row r="203" spans="2:11" ht="16.2" x14ac:dyDescent="0.3">
      <c r="B203"/>
      <c r="C203"/>
      <c r="D203" s="19"/>
      <c r="E203" s="27">
        <v>8</v>
      </c>
      <c r="F203" s="20">
        <v>4.1462284257365159E-2</v>
      </c>
      <c r="G203" s="20">
        <v>4.1375817416882857E-2</v>
      </c>
      <c r="H203" s="19"/>
      <c r="I203" s="27">
        <f t="shared" si="3"/>
        <v>8</v>
      </c>
      <c r="J203" s="20">
        <v>2.580294467506225E-3</v>
      </c>
      <c r="K203" s="20">
        <v>2.6211198914514364E-3</v>
      </c>
    </row>
    <row r="204" spans="2:11" ht="16.2" x14ac:dyDescent="0.3">
      <c r="B204"/>
      <c r="C204"/>
      <c r="D204" s="19"/>
      <c r="E204" s="27">
        <v>8.0399999999999991</v>
      </c>
      <c r="F204" s="20">
        <v>4.1565496036065408E-2</v>
      </c>
      <c r="G204" s="20">
        <v>4.1479761676857012E-2</v>
      </c>
      <c r="H204" s="19"/>
      <c r="I204" s="27">
        <f t="shared" si="3"/>
        <v>8.0399999999999991</v>
      </c>
      <c r="J204" s="20">
        <v>2.5348455126064998E-3</v>
      </c>
      <c r="K204" s="20">
        <v>2.5760423599940833E-3</v>
      </c>
    </row>
    <row r="205" spans="2:11" ht="16.2" x14ac:dyDescent="0.3">
      <c r="B205"/>
      <c r="C205"/>
      <c r="D205" s="19"/>
      <c r="E205" s="27">
        <v>8.08</v>
      </c>
      <c r="F205" s="20">
        <v>4.1666889856569668E-2</v>
      </c>
      <c r="G205" s="20">
        <v>4.158189672380206E-2</v>
      </c>
      <c r="H205" s="19"/>
      <c r="I205" s="27">
        <f t="shared" si="3"/>
        <v>8.08</v>
      </c>
      <c r="J205" s="20">
        <v>2.4890860392269218E-3</v>
      </c>
      <c r="K205" s="20">
        <v>2.5306586877877017E-3</v>
      </c>
    </row>
    <row r="206" spans="2:11" ht="16.2" x14ac:dyDescent="0.3">
      <c r="B206"/>
      <c r="C206"/>
      <c r="D206" s="19"/>
      <c r="E206" s="27">
        <v>8.1199999999999992</v>
      </c>
      <c r="F206" s="20">
        <v>4.1766453298138745E-2</v>
      </c>
      <c r="G206" s="20">
        <v>4.1682210245879564E-2</v>
      </c>
      <c r="H206" s="19"/>
      <c r="I206" s="27">
        <f t="shared" si="3"/>
        <v>8.1199999999999992</v>
      </c>
      <c r="J206" s="20">
        <v>2.4430127479577873E-3</v>
      </c>
      <c r="K206" s="20">
        <v>2.4849655658389534E-3</v>
      </c>
    </row>
    <row r="207" spans="2:11" ht="16.2" x14ac:dyDescent="0.3">
      <c r="B207"/>
      <c r="C207"/>
      <c r="D207" s="19"/>
      <c r="E207" s="27">
        <v>8.16</v>
      </c>
      <c r="F207" s="20">
        <v>4.1864173808057056E-2</v>
      </c>
      <c r="G207" s="20">
        <v>4.1780689799066323E-2</v>
      </c>
      <c r="H207" s="19"/>
      <c r="I207" s="27">
        <f t="shared" si="3"/>
        <v>8.16</v>
      </c>
      <c r="J207" s="20">
        <v>2.3966223462349584E-3</v>
      </c>
      <c r="K207" s="20">
        <v>2.438959693989468E-3</v>
      </c>
    </row>
    <row r="208" spans="2:11" ht="16.2" x14ac:dyDescent="0.3">
      <c r="B208"/>
      <c r="C208"/>
      <c r="D208" s="19"/>
      <c r="E208" s="27">
        <v>8.1999999999999993</v>
      </c>
      <c r="F208" s="20">
        <v>4.1960038701906455E-2</v>
      </c>
      <c r="G208" s="20">
        <v>4.1877322807519039E-2</v>
      </c>
      <c r="H208" s="19"/>
      <c r="I208" s="27">
        <f t="shared" si="3"/>
        <v>8.1999999999999993</v>
      </c>
      <c r="J208" s="20">
        <v>2.3499115543647309E-3</v>
      </c>
      <c r="K208" s="20">
        <v>2.3926377814963823E-3</v>
      </c>
    </row>
    <row r="209" spans="2:11" ht="16.2" x14ac:dyDescent="0.3">
      <c r="B209"/>
      <c r="C209"/>
      <c r="D209" s="19"/>
      <c r="E209" s="27">
        <v>8.24</v>
      </c>
      <c r="F209" s="20">
        <v>4.2054035164081044E-2</v>
      </c>
      <c r="G209" s="20">
        <v>4.197209656396296E-2</v>
      </c>
      <c r="H209" s="19"/>
      <c r="I209" s="27">
        <f t="shared" si="3"/>
        <v>8.24</v>
      </c>
      <c r="J209" s="20">
        <v>2.3028771018913236E-3</v>
      </c>
      <c r="K209" s="20">
        <v>2.3459965476304964E-3</v>
      </c>
    </row>
    <row r="210" spans="2:11" ht="16.2" x14ac:dyDescent="0.3">
      <c r="B210"/>
      <c r="C210"/>
      <c r="D210" s="19"/>
      <c r="E210" s="27">
        <v>8.2799999999999994</v>
      </c>
      <c r="F210" s="20">
        <v>4.2146150248156697E-2</v>
      </c>
      <c r="G210" s="20">
        <v>4.2064998230104823E-2</v>
      </c>
      <c r="H210" s="19"/>
      <c r="I210" s="27">
        <f t="shared" si="3"/>
        <v>8.2799999999999994</v>
      </c>
      <c r="J210" s="20">
        <v>2.2555157305753984E-3</v>
      </c>
      <c r="K210" s="20">
        <v>2.2990327222918079E-3</v>
      </c>
    </row>
    <row r="211" spans="2:11" ht="16.2" x14ac:dyDescent="0.3">
      <c r="B211"/>
      <c r="C211"/>
      <c r="D211" s="19"/>
      <c r="E211" s="27">
        <v>8.32</v>
      </c>
      <c r="F211" s="20">
        <v>4.2236370877379713E-2</v>
      </c>
      <c r="G211" s="20">
        <v>4.2156014837070245E-2</v>
      </c>
      <c r="H211" s="19"/>
      <c r="I211" s="27">
        <f t="shared" si="3"/>
        <v>8.32</v>
      </c>
      <c r="J211" s="20">
        <v>2.2078241939633286E-3</v>
      </c>
      <c r="K211" s="20">
        <v>2.2517430466427375E-3</v>
      </c>
    </row>
    <row r="212" spans="2:11" ht="16.2" x14ac:dyDescent="0.3">
      <c r="B212"/>
      <c r="C212"/>
      <c r="D212" s="19"/>
      <c r="E212" s="27">
        <v>8.36</v>
      </c>
      <c r="F212" s="20">
        <v>4.2324683845138246E-2</v>
      </c>
      <c r="G212" s="20">
        <v>4.2245133285867494E-2</v>
      </c>
      <c r="H212" s="19"/>
      <c r="I212" s="27">
        <f t="shared" si="3"/>
        <v>8.36</v>
      </c>
      <c r="J212" s="20">
        <v>2.1597992586542408E-3</v>
      </c>
      <c r="K212" s="20">
        <v>2.2041242737595112E-3</v>
      </c>
    </row>
    <row r="213" spans="2:11" ht="16.2" x14ac:dyDescent="0.3">
      <c r="B213"/>
      <c r="C213"/>
      <c r="D213" s="19"/>
      <c r="E213" s="27">
        <v>8.4</v>
      </c>
      <c r="F213" s="20">
        <v>4.2411075815484416E-2</v>
      </c>
      <c r="G213" s="20">
        <v>4.2332340347877404E-2</v>
      </c>
      <c r="H213" s="19"/>
      <c r="I213" s="27">
        <f t="shared" si="3"/>
        <v>8.4</v>
      </c>
      <c r="J213" s="20">
        <v>2.1114377042304525E-3</v>
      </c>
      <c r="K213" s="20">
        <v>2.1561731693015163E-3</v>
      </c>
    </row>
    <row r="214" spans="2:11" ht="16.2" x14ac:dyDescent="0.3">
      <c r="B214"/>
      <c r="C214"/>
      <c r="D214" s="19"/>
      <c r="E214" s="27">
        <v>8.44</v>
      </c>
      <c r="F214" s="20">
        <v>4.2495533323653634E-2</v>
      </c>
      <c r="G214" s="20">
        <v>4.2417622665370205E-2</v>
      </c>
      <c r="H214" s="19"/>
      <c r="I214" s="27">
        <f t="shared" si="3"/>
        <v>8.44</v>
      </c>
      <c r="J214" s="20">
        <v>2.0627363247351094E-3</v>
      </c>
      <c r="K214" s="20">
        <v>2.1078865121989757E-3</v>
      </c>
    </row>
    <row r="215" spans="2:11" ht="16.2" x14ac:dyDescent="0.3">
      <c r="B215"/>
      <c r="C215"/>
      <c r="D215" s="19"/>
      <c r="E215" s="27">
        <v>8.48</v>
      </c>
      <c r="F215" s="20">
        <v>4.2578042776643038E-2</v>
      </c>
      <c r="G215" s="20">
        <v>4.250096675205034E-2</v>
      </c>
      <c r="H215" s="19"/>
      <c r="I215" s="27">
        <f t="shared" si="3"/>
        <v>8.48</v>
      </c>
      <c r="J215" s="20">
        <v>2.0136919301633541E-3</v>
      </c>
      <c r="K215" s="20">
        <v>2.0592610953593486E-3</v>
      </c>
    </row>
    <row r="216" spans="2:11" ht="16.2" x14ac:dyDescent="0.3">
      <c r="B216"/>
      <c r="C216"/>
      <c r="D216" s="19"/>
      <c r="E216" s="27">
        <v>8.52</v>
      </c>
      <c r="F216" s="20">
        <v>4.2658590453849572E-2</v>
      </c>
      <c r="G216" s="20">
        <v>4.2582358993630325E-2</v>
      </c>
      <c r="H216" s="19"/>
      <c r="I216" s="27">
        <f t="shared" si="3"/>
        <v>8.52</v>
      </c>
      <c r="J216" s="20">
        <v>1.9643013437457488E-3</v>
      </c>
      <c r="K216" s="20">
        <v>2.0102937263922513E-3</v>
      </c>
    </row>
    <row r="217" spans="2:11" ht="16.2" x14ac:dyDescent="0.3">
      <c r="B217"/>
      <c r="C217"/>
      <c r="D217" s="19"/>
      <c r="E217" s="27">
        <v>8.56</v>
      </c>
      <c r="F217" s="20">
        <v>4.2737162507599402E-2</v>
      </c>
      <c r="G217" s="20">
        <v>4.2661785648433523E-2</v>
      </c>
      <c r="H217" s="19"/>
      <c r="I217" s="27">
        <f t="shared" si="3"/>
        <v>8.56</v>
      </c>
      <c r="J217" s="20">
        <v>1.914561408221209E-3</v>
      </c>
      <c r="K217" s="20">
        <v>1.9609812283535389E-3</v>
      </c>
    </row>
    <row r="218" spans="2:11" ht="16.2" x14ac:dyDescent="0.3">
      <c r="B218"/>
      <c r="C218"/>
      <c r="D218" s="19"/>
      <c r="E218" s="27">
        <v>8.6</v>
      </c>
      <c r="F218" s="20">
        <v>4.2813744963928251E-2</v>
      </c>
      <c r="G218" s="20">
        <v>4.2739232848027019E-2</v>
      </c>
      <c r="H218" s="19"/>
      <c r="I218" s="27">
        <f t="shared" si="3"/>
        <v>8.6</v>
      </c>
      <c r="J218" s="20">
        <v>1.8644689811201168E-3</v>
      </c>
      <c r="K218" s="20">
        <v>1.9113204405082505E-3</v>
      </c>
    </row>
    <row r="219" spans="2:11" ht="16.2" x14ac:dyDescent="0.3">
      <c r="B219"/>
      <c r="C219"/>
      <c r="D219" s="19"/>
      <c r="E219" s="27">
        <v>8.64</v>
      </c>
      <c r="F219" s="20">
        <v>4.2888323723173055E-2</v>
      </c>
      <c r="G219" s="20">
        <v>4.2814686597885634E-2</v>
      </c>
      <c r="H219" s="19"/>
      <c r="I219" s="27">
        <f t="shared" si="3"/>
        <v>8.64</v>
      </c>
      <c r="J219" s="20">
        <v>1.8140209388757891E-3</v>
      </c>
      <c r="K219" s="20">
        <v>1.8613082191131082E-3</v>
      </c>
    </row>
    <row r="220" spans="2:11" ht="16.2" x14ac:dyDescent="0.3">
      <c r="B220"/>
      <c r="C220"/>
      <c r="D220" s="19"/>
      <c r="E220" s="27">
        <v>8.68</v>
      </c>
      <c r="F220" s="20">
        <v>4.2960884560728087E-2</v>
      </c>
      <c r="G220" s="20">
        <v>4.2888132778087798E-2</v>
      </c>
      <c r="H220" s="19"/>
      <c r="I220" s="27">
        <f t="shared" si="3"/>
        <v>8.68</v>
      </c>
      <c r="J220" s="20">
        <v>1.7632141783499936E-3</v>
      </c>
      <c r="K220" s="20">
        <v>1.8109414382183942E-3</v>
      </c>
    </row>
    <row r="221" spans="2:11" ht="16.2" x14ac:dyDescent="0.3">
      <c r="B221"/>
      <c r="C221"/>
      <c r="D221" s="19"/>
      <c r="E221" s="27">
        <v>8.7200000000000006</v>
      </c>
      <c r="F221" s="20">
        <v>4.3031413127862086E-2</v>
      </c>
      <c r="G221" s="20">
        <v>4.2959557144043342E-2</v>
      </c>
      <c r="H221" s="19"/>
      <c r="I221" s="27">
        <f t="shared" si="3"/>
        <v>8.7200000000000006</v>
      </c>
      <c r="J221" s="20">
        <v>1.7120456119528241E-3</v>
      </c>
      <c r="K221" s="20">
        <v>1.7602169904895207E-3</v>
      </c>
    </row>
    <row r="222" spans="2:11" ht="16.2" x14ac:dyDescent="0.3">
      <c r="B222"/>
      <c r="C222"/>
      <c r="D222" s="19"/>
      <c r="E222" s="27">
        <v>8.76</v>
      </c>
      <c r="F222" s="20">
        <v>4.3099894952340199E-2</v>
      </c>
      <c r="G222" s="20">
        <v>4.3028945327255118E-2</v>
      </c>
      <c r="H222" s="19"/>
      <c r="I222" s="27">
        <f t="shared" si="3"/>
        <v>8.76</v>
      </c>
      <c r="J222" s="20">
        <v>1.6605121786869917E-3</v>
      </c>
      <c r="K222" s="20">
        <v>1.7091317880485026E-3</v>
      </c>
    </row>
    <row r="223" spans="2:11" ht="16.2" x14ac:dyDescent="0.3">
      <c r="B223"/>
      <c r="C223"/>
      <c r="D223" s="19"/>
      <c r="E223" s="27">
        <v>8.8000000000000007</v>
      </c>
      <c r="F223" s="20">
        <v>4.3166315439487679E-2</v>
      </c>
      <c r="G223" s="20">
        <v>4.3096282836114164E-2</v>
      </c>
      <c r="H223" s="19"/>
      <c r="I223" s="27">
        <f t="shared" si="3"/>
        <v>8.8000000000000007</v>
      </c>
      <c r="J223" s="20">
        <v>1.6086108328004778E-3</v>
      </c>
      <c r="K223" s="20">
        <v>1.6576827633354308E-3</v>
      </c>
    </row>
    <row r="224" spans="2:11" ht="16.2" x14ac:dyDescent="0.3">
      <c r="B224"/>
      <c r="C224"/>
      <c r="D224" s="19"/>
      <c r="E224" s="27">
        <v>8.84</v>
      </c>
      <c r="F224" s="20">
        <v>4.3230659872799698E-2</v>
      </c>
      <c r="G224" s="20">
        <v>4.3161555056730333E-2</v>
      </c>
      <c r="H224" s="19"/>
      <c r="I224" s="27">
        <f t="shared" si="3"/>
        <v>8.84</v>
      </c>
      <c r="J224" s="20">
        <v>1.5563385560886725E-3</v>
      </c>
      <c r="K224" s="20">
        <v>1.605866869990213E-3</v>
      </c>
    </row>
    <row r="225" spans="2:11" ht="16.2" x14ac:dyDescent="0.3">
      <c r="B225"/>
      <c r="C225"/>
      <c r="D225" s="19"/>
      <c r="E225" s="27">
        <v>8.8800000000000008</v>
      </c>
      <c r="F225" s="20">
        <v>4.3292913415043245E-2</v>
      </c>
      <c r="G225" s="20">
        <v>4.3224747253797942E-2</v>
      </c>
      <c r="H225" s="19"/>
      <c r="I225" s="27">
        <f t="shared" si="3"/>
        <v>8.8800000000000008</v>
      </c>
      <c r="J225" s="20">
        <v>1.5036923505951788E-3</v>
      </c>
      <c r="K225" s="20">
        <v>1.553681083754624E-3</v>
      </c>
    </row>
    <row r="226" spans="2:11" ht="16.2" x14ac:dyDescent="0.3">
      <c r="B226"/>
      <c r="C226"/>
      <c r="D226" s="19"/>
      <c r="E226" s="27">
        <v>8.92</v>
      </c>
      <c r="F226" s="20">
        <v>4.3353061109067052E-2</v>
      </c>
      <c r="G226" s="20">
        <v>4.3285844571498443E-2</v>
      </c>
      <c r="H226" s="19"/>
      <c r="I226" s="27">
        <f t="shared" si="3"/>
        <v>8.92</v>
      </c>
      <c r="J226" s="20">
        <v>1.4506692441127941E-3</v>
      </c>
      <c r="K226" s="20">
        <v>1.5011224033950551E-3</v>
      </c>
    </row>
    <row r="227" spans="2:11" ht="16.2" x14ac:dyDescent="0.3">
      <c r="B227"/>
      <c r="C227"/>
      <c r="D227" s="19"/>
      <c r="E227" s="27">
        <v>8.9600000000000009</v>
      </c>
      <c r="F227" s="20">
        <v>4.3411087878831564E-2</v>
      </c>
      <c r="G227" s="20">
        <v>4.334483203443993E-2</v>
      </c>
      <c r="H227" s="19"/>
      <c r="I227" s="27">
        <f t="shared" si="3"/>
        <v>8.9600000000000009</v>
      </c>
      <c r="J227" s="20">
        <v>1.3972662880510148E-3</v>
      </c>
      <c r="K227" s="20">
        <v>1.4481878516456573E-3</v>
      </c>
    </row>
    <row r="228" spans="2:11" ht="16.2" x14ac:dyDescent="0.3">
      <c r="B228"/>
      <c r="C228"/>
      <c r="D228" s="19"/>
      <c r="E228" s="27">
        <v>9</v>
      </c>
      <c r="F228" s="20">
        <v>4.3466978530353605E-2</v>
      </c>
      <c r="G228" s="20">
        <v>4.3401694548635579E-2</v>
      </c>
      <c r="H228" s="19"/>
      <c r="I228" s="27">
        <f t="shared" si="3"/>
        <v>9</v>
      </c>
      <c r="J228" s="20">
        <v>1.3434805625789706E-3</v>
      </c>
      <c r="K228" s="20">
        <v>1.3948744761728435E-3</v>
      </c>
    </row>
    <row r="229" spans="2:11" ht="16.2" x14ac:dyDescent="0.3">
      <c r="B229"/>
      <c r="C229"/>
      <c r="D229" s="19"/>
      <c r="E229" s="27">
        <v>9.0399999999999991</v>
      </c>
      <c r="F229" s="20">
        <v>4.3520717752856763E-2</v>
      </c>
      <c r="G229" s="20">
        <v>4.3456416902519911E-2</v>
      </c>
      <c r="H229" s="19"/>
      <c r="I229" s="27">
        <f t="shared" si="3"/>
        <v>9.0399999999999991</v>
      </c>
      <c r="J229" s="20">
        <v>1.2893091730602213E-3</v>
      </c>
      <c r="K229" s="20">
        <v>1.3411793505602846E-3</v>
      </c>
    </row>
    <row r="230" spans="2:11" ht="16.2" x14ac:dyDescent="0.3">
      <c r="B230"/>
      <c r="C230"/>
      <c r="D230" s="19"/>
      <c r="E230" s="27">
        <v>9.08</v>
      </c>
      <c r="F230" s="20">
        <v>4.3572290119779172E-2</v>
      </c>
      <c r="G230" s="20">
        <v>4.3508983768006187E-2</v>
      </c>
      <c r="H230" s="19"/>
      <c r="I230" s="27">
        <f t="shared" si="3"/>
        <v>9.08</v>
      </c>
      <c r="J230" s="20">
        <v>1.2347492537629831E-3</v>
      </c>
      <c r="K230" s="20">
        <v>1.2870995753153996E-3</v>
      </c>
    </row>
    <row r="231" spans="2:11" ht="16.2" x14ac:dyDescent="0.3">
      <c r="B231"/>
      <c r="C231"/>
      <c r="D231" s="19"/>
      <c r="E231" s="27">
        <v>9.1199999999999992</v>
      </c>
      <c r="F231" s="20">
        <v>4.3621680089929692E-2</v>
      </c>
      <c r="G231" s="20">
        <v>4.3559379701583315E-2</v>
      </c>
      <c r="H231" s="19"/>
      <c r="I231" s="27">
        <f t="shared" si="3"/>
        <v>9.1199999999999992</v>
      </c>
      <c r="J231" s="20">
        <v>1.1797979687529908E-3</v>
      </c>
      <c r="K231" s="20">
        <v>1.2326322788970526E-3</v>
      </c>
    </row>
    <row r="232" spans="2:11" ht="16.2" x14ac:dyDescent="0.3">
      <c r="B232"/>
      <c r="C232"/>
      <c r="D232" s="19"/>
      <c r="E232" s="27">
        <v>9.16</v>
      </c>
      <c r="F232" s="20">
        <v>4.3668872008679811E-2</v>
      </c>
      <c r="G232" s="20">
        <v>4.3607589145455108E-2</v>
      </c>
      <c r="H232" s="19"/>
      <c r="I232" s="27">
        <f t="shared" si="3"/>
        <v>9.16</v>
      </c>
      <c r="J232" s="20">
        <v>1.1244525117515974E-3</v>
      </c>
      <c r="K232" s="20">
        <v>1.1777746187646525E-3</v>
      </c>
    </row>
    <row r="233" spans="2:11" ht="16.2" x14ac:dyDescent="0.3">
      <c r="B233"/>
      <c r="C233"/>
      <c r="D233" s="19"/>
      <c r="E233" s="27">
        <v>9.1999999999999993</v>
      </c>
      <c r="F233" s="20">
        <v>4.3713850109149875E-2</v>
      </c>
      <c r="G233" s="20">
        <v>4.3653596428721499E-2</v>
      </c>
      <c r="H233" s="19"/>
      <c r="I233" s="27">
        <f t="shared" si="3"/>
        <v>9.1999999999999993</v>
      </c>
      <c r="J233" s="20">
        <v>1.0687101088046463E-3</v>
      </c>
      <c r="K233" s="20">
        <v>1.1225237824487577E-3</v>
      </c>
    </row>
    <row r="234" spans="2:11" ht="16.2" x14ac:dyDescent="0.3">
      <c r="B234"/>
      <c r="C234"/>
      <c r="D234" s="19"/>
      <c r="E234" s="27">
        <v>9.24</v>
      </c>
      <c r="F234" s="20">
        <v>4.3756598513502061E-2</v>
      </c>
      <c r="G234" s="20">
        <v>4.3697385768603457E-2</v>
      </c>
      <c r="H234" s="19"/>
      <c r="I234" s="27">
        <f t="shared" si="3"/>
        <v>9.24</v>
      </c>
      <c r="J234" s="20">
        <v>1.0125680188868488E-3</v>
      </c>
      <c r="K234" s="20">
        <v>1.0668769886435154E-3</v>
      </c>
    </row>
    <row r="235" spans="2:11" ht="16.2" x14ac:dyDescent="0.3">
      <c r="B235"/>
      <c r="C235"/>
      <c r="D235" s="19"/>
      <c r="E235" s="27">
        <v>9.2799999999999994</v>
      </c>
      <c r="F235" s="20">
        <v>4.3797101234257535E-2</v>
      </c>
      <c r="G235" s="20">
        <v>4.3738941271711226E-2</v>
      </c>
      <c r="H235" s="19"/>
      <c r="I235" s="27">
        <f t="shared" si="3"/>
        <v>9.2799999999999994</v>
      </c>
      <c r="J235" s="20">
        <v>9.5602353224009257E-4</v>
      </c>
      <c r="K235" s="20">
        <v>1.0108314883206877E-3</v>
      </c>
    </row>
    <row r="236" spans="2:11" ht="16.2" x14ac:dyDescent="0.3">
      <c r="B236"/>
      <c r="C236"/>
      <c r="D236" s="19"/>
      <c r="E236" s="27">
        <v>9.32</v>
      </c>
      <c r="F236" s="20">
        <v>4.3835342175547139E-2</v>
      </c>
      <c r="G236" s="20">
        <v>4.3778246935358617E-2</v>
      </c>
      <c r="H236" s="19"/>
      <c r="I236" s="27">
        <f t="shared" si="3"/>
        <v>9.32</v>
      </c>
      <c r="J236" s="20">
        <v>8.990739781960036E-4</v>
      </c>
      <c r="K236" s="20">
        <v>9.543845658657005E-4</v>
      </c>
    </row>
    <row r="237" spans="2:11" ht="16.2" x14ac:dyDescent="0.3">
      <c r="B237"/>
      <c r="C237"/>
      <c r="D237" s="19"/>
      <c r="E237" s="27">
        <v>9.36</v>
      </c>
      <c r="F237" s="20">
        <v>4.3871305134674979E-2</v>
      </c>
      <c r="G237" s="20">
        <v>4.3815286648922265E-2</v>
      </c>
      <c r="H237" s="19"/>
      <c r="I237" s="27">
        <f t="shared" si="3"/>
        <v>9.36</v>
      </c>
      <c r="J237" s="20">
        <v>8.4171671874567339E-4</v>
      </c>
      <c r="K237" s="20">
        <v>8.9753354023558885E-4</v>
      </c>
    </row>
    <row r="238" spans="2:11" ht="16.2" x14ac:dyDescent="0.3">
      <c r="B238"/>
      <c r="C238"/>
      <c r="D238" s="19"/>
      <c r="E238" s="27">
        <v>9.4</v>
      </c>
      <c r="F238" s="20">
        <v>4.3904973803424806E-2</v>
      </c>
      <c r="G238" s="20">
        <v>4.3850044195248211E-2</v>
      </c>
      <c r="H238" s="19"/>
      <c r="I238" s="27">
        <f t="shared" si="3"/>
        <v>9.4</v>
      </c>
      <c r="J238" s="20">
        <v>7.8394915456556774E-4</v>
      </c>
      <c r="K238" s="20">
        <v>8.4027576613904275E-4</v>
      </c>
    </row>
    <row r="239" spans="2:11" ht="16.2" x14ac:dyDescent="0.3">
      <c r="B239"/>
      <c r="C239"/>
      <c r="D239" s="19"/>
      <c r="E239" s="27">
        <v>9.44</v>
      </c>
      <c r="F239" s="20">
        <v>4.3936331769607428E-2</v>
      </c>
      <c r="G239" s="20">
        <v>4.3882503252105742E-2</v>
      </c>
      <c r="H239" s="19"/>
      <c r="I239" s="27">
        <f t="shared" si="3"/>
        <v>9.44</v>
      </c>
      <c r="J239" s="20">
        <v>7.2576872591108288E-4</v>
      </c>
      <c r="K239" s="20">
        <v>7.826086352385657E-4</v>
      </c>
    </row>
    <row r="240" spans="2:11" ht="16.2" x14ac:dyDescent="0.3">
      <c r="B240"/>
      <c r="C240"/>
      <c r="D240" s="19"/>
      <c r="E240" s="27">
        <v>9.48</v>
      </c>
      <c r="F240" s="20">
        <v>4.3965362518643872E-2</v>
      </c>
      <c r="G240" s="20">
        <v>4.3912647393690232E-2</v>
      </c>
      <c r="H240" s="19"/>
      <c r="I240" s="27">
        <f t="shared" si="3"/>
        <v>9.48</v>
      </c>
      <c r="J240" s="20">
        <v>6.6717291104800847E-4</v>
      </c>
      <c r="K240" s="20">
        <v>7.2452957737487969E-4</v>
      </c>
    </row>
    <row r="241" spans="2:11" ht="16.2" x14ac:dyDescent="0.3">
      <c r="B241"/>
      <c r="C241"/>
      <c r="D241" s="19"/>
      <c r="E241" s="27">
        <v>9.52</v>
      </c>
      <c r="F241" s="20">
        <v>4.3992049435085792E-2</v>
      </c>
      <c r="G241" s="20">
        <v>4.3940460092174997E-2</v>
      </c>
      <c r="H241" s="19"/>
      <c r="I241" s="27">
        <f t="shared" si="3"/>
        <v>9.52</v>
      </c>
      <c r="J241" s="20">
        <v>6.0815923052948834E-4</v>
      </c>
      <c r="K241" s="20">
        <v>6.6603606181355314E-4</v>
      </c>
    </row>
    <row r="242" spans="2:11" ht="16.2" x14ac:dyDescent="0.3">
      <c r="B242"/>
      <c r="C242"/>
      <c r="D242" s="19"/>
      <c r="E242" s="27">
        <v>9.56</v>
      </c>
      <c r="F242" s="20">
        <v>4.4016375804306972E-2</v>
      </c>
      <c r="G242" s="20">
        <v>4.3965924719313508E-2</v>
      </c>
      <c r="H242" s="19"/>
      <c r="I242" s="27">
        <f t="shared" si="3"/>
        <v>9.56</v>
      </c>
      <c r="J242" s="20">
        <v>5.4872524708222264E-4</v>
      </c>
      <c r="K242" s="20">
        <v>6.0712559851394785E-4</v>
      </c>
    </row>
    <row r="243" spans="2:11" ht="16.2" x14ac:dyDescent="0.3">
      <c r="B243"/>
      <c r="C243"/>
      <c r="D243" s="19"/>
      <c r="E243" s="27">
        <v>9.6</v>
      </c>
      <c r="F243" s="20">
        <v>4.4038324814190261E-2</v>
      </c>
      <c r="G243" s="20">
        <v>4.3989024548092948E-2</v>
      </c>
      <c r="H243" s="19"/>
      <c r="I243" s="27">
        <f t="shared" si="3"/>
        <v>9.6</v>
      </c>
      <c r="J243" s="20">
        <v>4.8886856728602712E-4</v>
      </c>
      <c r="K243" s="20">
        <v>5.4779573942052384E-4</v>
      </c>
    </row>
    <row r="244" spans="2:11" ht="16.2" x14ac:dyDescent="0.3">
      <c r="B244"/>
      <c r="C244"/>
      <c r="D244" s="19"/>
      <c r="E244" s="27">
        <v>9.64</v>
      </c>
      <c r="F244" s="20">
        <v>4.4057879556881702E-2</v>
      </c>
      <c r="G244" s="20">
        <v>4.4009742754439959E-2</v>
      </c>
      <c r="H244" s="19"/>
      <c r="I244" s="27">
        <f t="shared" si="3"/>
        <v>9.64</v>
      </c>
      <c r="J244" s="20">
        <v>4.2858684256071727E-4</v>
      </c>
      <c r="K244" s="20">
        <v>4.8804407977650412E-4</v>
      </c>
    </row>
    <row r="245" spans="2:11" ht="16.2" x14ac:dyDescent="0.3">
      <c r="B245"/>
      <c r="C245"/>
      <c r="D245" s="19"/>
      <c r="E245" s="27">
        <v>9.68</v>
      </c>
      <c r="F245" s="20">
        <v>4.407502303058413E-2</v>
      </c>
      <c r="G245" s="20">
        <v>4.4028062418978983E-2</v>
      </c>
      <c r="H245" s="19"/>
      <c r="I245" s="27">
        <f t="shared" si="3"/>
        <v>9.68</v>
      </c>
      <c r="J245" s="20">
        <v>3.6787777070966532E-4</v>
      </c>
      <c r="K245" s="20">
        <v>4.2786825945999866E-4</v>
      </c>
    </row>
    <row r="246" spans="2:11" ht="16.2" x14ac:dyDescent="0.3">
      <c r="B246"/>
      <c r="C246"/>
      <c r="D246" s="19"/>
      <c r="E246" s="27">
        <v>9.7200000000000006</v>
      </c>
      <c r="F246" s="20">
        <v>4.4089738141412517E-2</v>
      </c>
      <c r="G246" s="20">
        <v>4.4043966528844986E-2</v>
      </c>
      <c r="H246" s="19"/>
      <c r="I246" s="27">
        <f t="shared" si="3"/>
        <v>9.7200000000000006</v>
      </c>
      <c r="J246" s="20">
        <v>3.0673909883136008E-4</v>
      </c>
      <c r="K246" s="20">
        <v>3.6726596434227392E-4</v>
      </c>
    </row>
    <row r="247" spans="2:11" ht="16.2" x14ac:dyDescent="0.3">
      <c r="B247"/>
      <c r="C247"/>
      <c r="D247" s="19"/>
      <c r="E247" s="27">
        <v>9.76</v>
      </c>
      <c r="F247" s="20">
        <v>4.4102007705365771E-2</v>
      </c>
      <c r="G247" s="20">
        <v>4.4057437979550591E-2</v>
      </c>
      <c r="H247" s="19"/>
      <c r="I247" s="27">
        <f t="shared" si="3"/>
        <v>9.76</v>
      </c>
      <c r="J247" s="20">
        <v>2.4516862079972113E-4</v>
      </c>
      <c r="K247" s="20">
        <v>3.0623492766880886E-4</v>
      </c>
    </row>
    <row r="248" spans="2:11" ht="16.2" x14ac:dyDescent="0.3">
      <c r="B248"/>
      <c r="C248"/>
      <c r="D248" s="19"/>
      <c r="E248" s="27">
        <v>9.8000000000000007</v>
      </c>
      <c r="F248" s="20">
        <v>4.411181445019776E-2</v>
      </c>
      <c r="G248" s="20">
        <v>4.4068459576909122E-2</v>
      </c>
      <c r="H248" s="19"/>
      <c r="I248" s="27">
        <f t="shared" si="3"/>
        <v>9.8000000000000007</v>
      </c>
      <c r="J248" s="20">
        <v>1.8316418307386118E-4</v>
      </c>
      <c r="K248" s="20">
        <v>2.4477293146227556E-4</v>
      </c>
    </row>
    <row r="249" spans="2:11" ht="16.2" x14ac:dyDescent="0.3">
      <c r="B249"/>
      <c r="C249"/>
      <c r="D249" s="19"/>
      <c r="E249" s="27">
        <v>9.84</v>
      </c>
      <c r="F249" s="20">
        <v>4.4119141017520715E-2</v>
      </c>
      <c r="G249" s="20">
        <v>4.4077014039013845E-2</v>
      </c>
      <c r="H249" s="19"/>
      <c r="I249" s="27">
        <f t="shared" si="3"/>
        <v>9.84</v>
      </c>
      <c r="J249" s="20">
        <v>1.2072368374554943E-4</v>
      </c>
      <c r="K249" s="20">
        <v>1.8287780794809337E-4</v>
      </c>
    </row>
    <row r="250" spans="2:11" ht="16.2" x14ac:dyDescent="0.3">
      <c r="B250"/>
      <c r="C250"/>
      <c r="D250" s="19"/>
      <c r="E250" s="27">
        <v>9.8800000000000008</v>
      </c>
      <c r="F250" s="20">
        <v>4.4123969964870537E-2</v>
      </c>
      <c r="G250" s="20">
        <v>4.4083083998275582E-2</v>
      </c>
      <c r="H250" s="19"/>
      <c r="I250" s="27">
        <f t="shared" si="3"/>
        <v>9.8800000000000008</v>
      </c>
      <c r="J250" s="20">
        <v>5.7845075184838335E-5</v>
      </c>
      <c r="K250" s="20">
        <v>1.2054744100221005E-4</v>
      </c>
    </row>
    <row r="251" spans="2:11" ht="16.2" x14ac:dyDescent="0.3">
      <c r="B251"/>
      <c r="C251"/>
      <c r="D251" s="19"/>
      <c r="E251" s="27">
        <v>9.92</v>
      </c>
      <c r="F251" s="20">
        <v>4.412628376787793E-2</v>
      </c>
      <c r="G251" s="20">
        <v>4.4086652003517357E-2</v>
      </c>
      <c r="H251" s="19"/>
      <c r="I251" s="27">
        <f t="shared" si="3"/>
        <v>9.92</v>
      </c>
      <c r="J251" s="20">
        <v>-5.4736377068029252E-6</v>
      </c>
      <c r="K251" s="20">
        <v>5.7779767620984697E-5</v>
      </c>
    </row>
    <row r="252" spans="2:11" ht="16.2" x14ac:dyDescent="0.3">
      <c r="B252"/>
      <c r="C252"/>
      <c r="D252" s="19"/>
      <c r="E252" s="27">
        <v>9.9600000000000009</v>
      </c>
      <c r="F252" s="20">
        <v>4.4126064822369658E-2</v>
      </c>
      <c r="G252" s="20">
        <v>4.4087700522129292E-2</v>
      </c>
      <c r="H252" s="19"/>
      <c r="I252" s="27">
        <f t="shared" si="3"/>
        <v>9.9600000000000009</v>
      </c>
      <c r="J252" s="20">
        <v>-5.8551007437943059E-5</v>
      </c>
      <c r="K252" s="20">
        <v>-5.4272205867257796E-6</v>
      </c>
    </row>
    <row r="253" spans="2:11" ht="16.2" x14ac:dyDescent="0.3">
      <c r="B253"/>
      <c r="C253"/>
      <c r="D253" s="19"/>
      <c r="E253" s="27">
        <v>10</v>
      </c>
      <c r="F253" s="20">
        <v>4.412372278207214E-2</v>
      </c>
      <c r="G253" s="20">
        <v>4.4086211942283529E-2</v>
      </c>
      <c r="H253" s="19"/>
      <c r="I253" s="27">
        <f t="shared" si="3"/>
        <v>10</v>
      </c>
      <c r="J253" s="20">
        <v>-6.9187952352403603E-5</v>
      </c>
      <c r="K253" s="20">
        <v>-6.9075475885466394E-5</v>
      </c>
    </row>
    <row r="254" spans="2:11" ht="16.2" x14ac:dyDescent="0.3">
      <c r="B254"/>
      <c r="C254"/>
      <c r="D254" s="19"/>
      <c r="E254" s="27">
        <v>10.039999999999999</v>
      </c>
      <c r="F254" s="20">
        <v>4.4120955263978044E-2</v>
      </c>
      <c r="G254" s="20">
        <v>4.4083449074474944E-2</v>
      </c>
      <c r="H254" s="19"/>
      <c r="I254" s="27">
        <f t="shared" si="3"/>
        <v>10.039999999999999</v>
      </c>
      <c r="J254" s="20">
        <v>-6.9171672278760254E-5</v>
      </c>
      <c r="K254" s="20">
        <v>-6.9066678380831617E-5</v>
      </c>
    </row>
    <row r="255" spans="2:11" ht="16.2" x14ac:dyDescent="0.3">
      <c r="B255"/>
      <c r="C255"/>
      <c r="D255" s="19"/>
      <c r="E255" s="27">
        <v>10.08</v>
      </c>
      <c r="F255" s="20">
        <v>4.4118188397086894E-2</v>
      </c>
      <c r="G255" s="20">
        <v>4.4080686707243022E-2</v>
      </c>
      <c r="H255" s="19"/>
      <c r="I255" s="27">
        <f t="shared" si="3"/>
        <v>10.08</v>
      </c>
      <c r="J255" s="20">
        <v>-6.9147885776651985E-5</v>
      </c>
      <c r="K255" s="20">
        <v>-6.9050438626022477E-5</v>
      </c>
    </row>
    <row r="256" spans="2:11" ht="16.2" x14ac:dyDescent="0.3">
      <c r="B256"/>
      <c r="C256"/>
      <c r="D256" s="19"/>
      <c r="E256" s="27">
        <v>10.119999999999999</v>
      </c>
      <c r="F256" s="20">
        <v>4.4115422481655828E-2</v>
      </c>
      <c r="G256" s="20">
        <v>4.4077925139290423E-2</v>
      </c>
      <c r="H256" s="19"/>
      <c r="I256" s="27">
        <f t="shared" si="3"/>
        <v>10.119999999999999</v>
      </c>
      <c r="J256" s="20">
        <v>-6.9116541875913207E-5</v>
      </c>
      <c r="K256" s="20">
        <v>-6.9026705948157407E-5</v>
      </c>
    </row>
    <row r="257" spans="2:11" ht="16.2" x14ac:dyDescent="0.3">
      <c r="B257"/>
      <c r="C257"/>
      <c r="D257" s="19"/>
      <c r="E257" s="27">
        <v>10.16</v>
      </c>
      <c r="F257" s="20">
        <v>4.4112657819980791E-2</v>
      </c>
      <c r="G257" s="20">
        <v>4.4075164671351093E-2</v>
      </c>
      <c r="H257" s="19"/>
      <c r="I257" s="27">
        <f t="shared" si="3"/>
        <v>10.16</v>
      </c>
      <c r="J257" s="20">
        <v>-6.9077590587017512E-5</v>
      </c>
      <c r="K257" s="20">
        <v>-6.8995429466685101E-5</v>
      </c>
    </row>
    <row r="258" spans="2:11" ht="16.2" x14ac:dyDescent="0.3">
      <c r="B258"/>
      <c r="C258"/>
      <c r="D258" s="19"/>
      <c r="E258" s="27">
        <v>10.199999999999999</v>
      </c>
      <c r="F258" s="20">
        <v>4.410989471635731E-2</v>
      </c>
      <c r="G258" s="20">
        <v>4.4072405606198205E-2</v>
      </c>
      <c r="H258" s="19"/>
      <c r="I258" s="27">
        <f t="shared" si="3"/>
        <v>10.199999999999999</v>
      </c>
      <c r="J258" s="20">
        <v>-6.9030978701485612E-5</v>
      </c>
      <c r="K258" s="20">
        <v>-6.8956558092775303E-5</v>
      </c>
    </row>
    <row r="259" spans="2:11" ht="16.2" x14ac:dyDescent="0.3">
      <c r="B259"/>
      <c r="C259"/>
      <c r="D259" s="19"/>
      <c r="E259" s="27">
        <v>10.24</v>
      </c>
      <c r="F259" s="20">
        <v>4.4107133477209251E-2</v>
      </c>
      <c r="G259" s="20">
        <v>4.4069648248652789E-2</v>
      </c>
      <c r="H259" s="19"/>
      <c r="I259" s="27">
        <f t="shared" si="3"/>
        <v>10.24</v>
      </c>
      <c r="J259" s="20">
        <v>-6.8976655625933858E-5</v>
      </c>
      <c r="K259" s="20">
        <v>-6.8910040528606271E-5</v>
      </c>
    </row>
    <row r="260" spans="2:11" ht="16.2" x14ac:dyDescent="0.3">
      <c r="B260"/>
      <c r="C260"/>
      <c r="D260" s="19"/>
      <c r="E260" s="27">
        <v>10.28</v>
      </c>
      <c r="F260" s="20">
        <v>4.4104374410984214E-2</v>
      </c>
      <c r="G260" s="20">
        <v>4.4066892905591737E-2</v>
      </c>
      <c r="H260" s="19"/>
      <c r="I260" s="27">
        <f t="shared" ref="I260:I323" si="4">IF(E260&lt;&gt;"",E260,"")</f>
        <v>10.28</v>
      </c>
      <c r="J260" s="20">
        <v>-6.8914570013935139E-5</v>
      </c>
      <c r="K260" s="20">
        <v>-6.8855825266749216E-5</v>
      </c>
    </row>
    <row r="261" spans="2:11" ht="16.2" x14ac:dyDescent="0.3">
      <c r="B261"/>
      <c r="C261"/>
      <c r="D261" s="19"/>
      <c r="E261" s="27">
        <v>10.32</v>
      </c>
      <c r="F261" s="20">
        <v>4.4101617828183656E-2</v>
      </c>
      <c r="G261" s="20">
        <v>4.4064139885956873E-2</v>
      </c>
      <c r="H261" s="19"/>
      <c r="I261" s="27">
        <f t="shared" si="4"/>
        <v>10.32</v>
      </c>
      <c r="J261" s="20">
        <v>-6.8844669025812377E-5</v>
      </c>
      <c r="K261" s="20">
        <v>-6.8793860589413253E-5</v>
      </c>
    </row>
    <row r="262" spans="2:11" ht="16.2" x14ac:dyDescent="0.3">
      <c r="B262"/>
      <c r="C262"/>
      <c r="D262" s="19"/>
      <c r="E262" s="27">
        <v>10.36</v>
      </c>
      <c r="F262" s="20">
        <v>4.4098864041422624E-2</v>
      </c>
      <c r="G262" s="20">
        <v>4.4061389500762466E-2</v>
      </c>
      <c r="H262" s="19"/>
      <c r="I262" s="27">
        <f t="shared" si="4"/>
        <v>10.36</v>
      </c>
      <c r="J262" s="20">
        <v>-6.8766900429215183E-5</v>
      </c>
      <c r="K262" s="20">
        <v>-6.8724094567858754E-5</v>
      </c>
    </row>
    <row r="263" spans="2:11" ht="16.2" x14ac:dyDescent="0.3">
      <c r="B263"/>
      <c r="C263"/>
      <c r="D263" s="19"/>
      <c r="E263" s="27">
        <v>10.4</v>
      </c>
      <c r="F263" s="20">
        <v>4.4096113365405455E-2</v>
      </c>
      <c r="G263" s="20">
        <v>4.4058642063104503E-2</v>
      </c>
      <c r="H263" s="19"/>
      <c r="I263" s="27">
        <f t="shared" si="4"/>
        <v>10.4</v>
      </c>
      <c r="J263" s="20">
        <v>-6.8681212519669521E-5</v>
      </c>
      <c r="K263" s="20">
        <v>-6.8646475061624214E-5</v>
      </c>
    </row>
    <row r="264" spans="2:11" ht="16.2" x14ac:dyDescent="0.3">
      <c r="B264"/>
      <c r="C264"/>
      <c r="D264" s="19"/>
      <c r="E264" s="27">
        <v>10.44</v>
      </c>
      <c r="F264" s="20">
        <v>4.4093366116904668E-2</v>
      </c>
      <c r="G264" s="20">
        <v>4.4055897888168605E-2</v>
      </c>
      <c r="H264" s="19"/>
      <c r="I264" s="27">
        <f t="shared" si="4"/>
        <v>10.44</v>
      </c>
      <c r="J264" s="20">
        <v>-6.8587551812701597E-5</v>
      </c>
      <c r="K264" s="20">
        <v>-6.8560949717902812E-5</v>
      </c>
    </row>
    <row r="265" spans="2:11" ht="16.2" x14ac:dyDescent="0.3">
      <c r="B265"/>
      <c r="C265"/>
      <c r="D265" s="19"/>
      <c r="E265" s="27">
        <v>10.48</v>
      </c>
      <c r="F265" s="20">
        <v>4.409062261483216E-2</v>
      </c>
      <c r="G265" s="20">
        <v>4.405315729323897E-2</v>
      </c>
      <c r="H265" s="19"/>
      <c r="I265" s="27">
        <f t="shared" si="4"/>
        <v>10.48</v>
      </c>
      <c r="J265" s="20">
        <v>-6.8485865713924232E-5</v>
      </c>
      <c r="K265" s="20">
        <v>-6.8467465970801068E-5</v>
      </c>
    </row>
    <row r="266" spans="2:11" ht="16.2" x14ac:dyDescent="0.3">
      <c r="B266"/>
      <c r="C266"/>
      <c r="D266" s="19"/>
      <c r="E266" s="27">
        <v>10.52</v>
      </c>
      <c r="F266" s="20">
        <v>4.4087883180203603E-2</v>
      </c>
      <c r="G266" s="20">
        <v>4.4050420597706606E-2</v>
      </c>
      <c r="H266" s="19"/>
      <c r="I266" s="27">
        <f t="shared" si="4"/>
        <v>10.52</v>
      </c>
      <c r="J266" s="20">
        <v>-6.8376102067141398E-5</v>
      </c>
      <c r="K266" s="20">
        <v>-6.8365971040595778E-5</v>
      </c>
    </row>
    <row r="267" spans="2:11" ht="16.2" x14ac:dyDescent="0.3">
      <c r="B267"/>
      <c r="C267"/>
      <c r="D267" s="19"/>
      <c r="E267" s="27">
        <v>10.56</v>
      </c>
      <c r="F267" s="20">
        <v>4.4085148136120918E-2</v>
      </c>
      <c r="G267" s="20">
        <v>4.4047688123078035E-2</v>
      </c>
      <c r="H267" s="19"/>
      <c r="I267" s="27">
        <f t="shared" si="4"/>
        <v>10.56</v>
      </c>
      <c r="J267" s="20">
        <v>-6.8258205904690727E-5</v>
      </c>
      <c r="K267" s="20">
        <v>-6.8256411933189618E-5</v>
      </c>
    </row>
    <row r="268" spans="2:11" ht="16.2" x14ac:dyDescent="0.3">
      <c r="B268"/>
      <c r="C268"/>
      <c r="D268" s="19"/>
      <c r="E268" s="27">
        <v>10.6</v>
      </c>
      <c r="F268" s="20">
        <v>4.408241780788473E-2</v>
      </c>
      <c r="G268" s="20">
        <v>4.404496019298372E-2</v>
      </c>
      <c r="H268" s="19"/>
      <c r="I268" s="27">
        <f t="shared" si="4"/>
        <v>10.6</v>
      </c>
      <c r="J268" s="20">
        <v>-6.8132124729156085E-5</v>
      </c>
      <c r="K268" s="20">
        <v>-6.8138735439177389E-5</v>
      </c>
    </row>
    <row r="269" spans="2:11" ht="16.2" x14ac:dyDescent="0.3">
      <c r="B269"/>
      <c r="C269"/>
      <c r="D269" s="19"/>
      <c r="E269" s="27">
        <v>10.64</v>
      </c>
      <c r="F269" s="20">
        <v>4.4079692522895564E-2</v>
      </c>
      <c r="G269" s="20">
        <v>4.4042237133186918E-2</v>
      </c>
      <c r="H269" s="19"/>
      <c r="I269" s="27">
        <f t="shared" si="4"/>
        <v>10.64</v>
      </c>
      <c r="J269" s="20">
        <v>-6.7997804902020231E-5</v>
      </c>
      <c r="K269" s="20">
        <v>-6.8012888133284661E-5</v>
      </c>
    </row>
    <row r="270" spans="2:11" ht="16.2" x14ac:dyDescent="0.3">
      <c r="B270"/>
      <c r="C270"/>
      <c r="D270" s="19"/>
      <c r="E270" s="27">
        <v>10.68</v>
      </c>
      <c r="F270" s="20">
        <v>4.4076972610699483E-2</v>
      </c>
      <c r="G270" s="20">
        <v>4.4039519271592303E-2</v>
      </c>
      <c r="H270" s="19"/>
      <c r="I270" s="27">
        <f t="shared" si="4"/>
        <v>10.68</v>
      </c>
      <c r="J270" s="20">
        <v>-6.7855191633603429E-5</v>
      </c>
      <c r="K270" s="20">
        <v>-6.7878816373573224E-5</v>
      </c>
    </row>
    <row r="271" spans="2:11" ht="16.2" x14ac:dyDescent="0.3">
      <c r="B271"/>
      <c r="C271"/>
      <c r="D271" s="19"/>
      <c r="E271" s="27">
        <v>10.72</v>
      </c>
      <c r="F271" s="20">
        <v>4.4074258403034139E-2</v>
      </c>
      <c r="G271" s="20">
        <v>4.4036806938254472E-2</v>
      </c>
      <c r="H271" s="19"/>
      <c r="I271" s="27">
        <f t="shared" si="4"/>
        <v>10.72</v>
      </c>
      <c r="J271" s="20">
        <v>-6.7704231779958102E-5</v>
      </c>
      <c r="K271" s="20">
        <v>-6.7736466300720845E-5</v>
      </c>
    </row>
    <row r="272" spans="2:11" ht="16.2" x14ac:dyDescent="0.3">
      <c r="B272"/>
      <c r="C272"/>
      <c r="D272" s="19"/>
      <c r="E272" s="27">
        <v>10.76</v>
      </c>
      <c r="F272" s="20">
        <v>4.4071550233762941E-2</v>
      </c>
      <c r="G272" s="20">
        <v>4.4034100465386666E-2</v>
      </c>
      <c r="H272" s="19"/>
      <c r="I272" s="27">
        <f t="shared" si="4"/>
        <v>10.76</v>
      </c>
      <c r="J272" s="20">
        <v>-6.7544870205327179E-5</v>
      </c>
      <c r="K272" s="20">
        <v>-6.7585783837303222E-5</v>
      </c>
    </row>
    <row r="273" spans="2:11" ht="16.2" x14ac:dyDescent="0.3">
      <c r="B273"/>
      <c r="C273"/>
      <c r="D273" s="19"/>
      <c r="E273" s="27">
        <v>10.8</v>
      </c>
      <c r="F273" s="20">
        <v>4.4068848438954727E-2</v>
      </c>
      <c r="G273" s="20">
        <v>4.4031400187369903E-2</v>
      </c>
      <c r="H273" s="19"/>
      <c r="I273" s="27">
        <f t="shared" si="4"/>
        <v>10.8</v>
      </c>
      <c r="J273" s="20">
        <v>-6.7377053051403957E-5</v>
      </c>
      <c r="K273" s="20">
        <v>-6.7426714686991433E-5</v>
      </c>
    </row>
    <row r="274" spans="2:11" ht="16.2" x14ac:dyDescent="0.3">
      <c r="B274"/>
      <c r="C274"/>
      <c r="D274" s="19"/>
      <c r="E274" s="27">
        <v>10.84</v>
      </c>
      <c r="F274" s="20">
        <v>4.4066153356832671E-2</v>
      </c>
      <c r="G274" s="20">
        <v>4.4028706440761012E-2</v>
      </c>
      <c r="H274" s="19"/>
      <c r="I274" s="27">
        <f t="shared" si="4"/>
        <v>10.84</v>
      </c>
      <c r="J274" s="20">
        <v>-6.7200724551165492E-5</v>
      </c>
      <c r="K274" s="20">
        <v>-6.7259204333886983E-5</v>
      </c>
    </row>
    <row r="275" spans="2:11" ht="16.2" x14ac:dyDescent="0.3">
      <c r="B275"/>
      <c r="C275"/>
      <c r="D275" s="19"/>
      <c r="E275" s="27">
        <v>10.88</v>
      </c>
      <c r="F275" s="20">
        <v>4.4063465327850625E-2</v>
      </c>
      <c r="G275" s="20">
        <v>4.4026019564302264E-2</v>
      </c>
      <c r="H275" s="19"/>
      <c r="I275" s="27">
        <f t="shared" si="4"/>
        <v>10.88</v>
      </c>
      <c r="J275" s="20">
        <v>-6.7015830121017195E-5</v>
      </c>
      <c r="K275" s="20">
        <v>-6.7083198041658615E-5</v>
      </c>
    </row>
    <row r="276" spans="2:11" ht="16.2" x14ac:dyDescent="0.3">
      <c r="B276"/>
      <c r="C276"/>
      <c r="D276" s="19"/>
      <c r="E276" s="27">
        <v>10.92</v>
      </c>
      <c r="F276" s="20">
        <v>4.4060784694645784E-2</v>
      </c>
      <c r="G276" s="20">
        <v>4.4023339898929509E-2</v>
      </c>
      <c r="H276" s="19"/>
      <c r="I276" s="27">
        <f t="shared" si="4"/>
        <v>10.92</v>
      </c>
      <c r="J276" s="20">
        <v>-6.6822315055066472E-5</v>
      </c>
      <c r="K276" s="20">
        <v>-6.6898640852910312E-5</v>
      </c>
    </row>
    <row r="277" spans="2:11" ht="16.2" x14ac:dyDescent="0.3">
      <c r="B277"/>
      <c r="C277"/>
      <c r="D277" s="19"/>
      <c r="E277" s="27">
        <v>10.96</v>
      </c>
      <c r="F277" s="20">
        <v>4.4058111802043581E-2</v>
      </c>
      <c r="G277" s="20">
        <v>4.4020667787781638E-2</v>
      </c>
      <c r="H277" s="19"/>
      <c r="I277" s="27">
        <f t="shared" si="4"/>
        <v>10.96</v>
      </c>
      <c r="J277" s="20">
        <v>-6.6620122252808445E-5</v>
      </c>
      <c r="K277" s="20">
        <v>-6.6705477588229481E-5</v>
      </c>
    </row>
    <row r="278" spans="2:11" ht="16.2" x14ac:dyDescent="0.3">
      <c r="B278"/>
      <c r="C278"/>
      <c r="D278" s="19"/>
      <c r="E278" s="27">
        <v>11</v>
      </c>
      <c r="F278" s="20">
        <v>4.4055446997153469E-2</v>
      </c>
      <c r="G278" s="20">
        <v>4.4018003576208768E-2</v>
      </c>
      <c r="H278" s="19"/>
      <c r="I278" s="27">
        <f t="shared" si="4"/>
        <v>11</v>
      </c>
      <c r="J278" s="20">
        <v>-6.6409198260473923E-5</v>
      </c>
      <c r="K278" s="20">
        <v>-6.6503652845633141E-5</v>
      </c>
    </row>
    <row r="279" spans="2:11" ht="16.2" x14ac:dyDescent="0.3">
      <c r="B279"/>
      <c r="C279"/>
      <c r="D279" s="19"/>
      <c r="E279" s="27">
        <v>11.04</v>
      </c>
      <c r="F279" s="20">
        <v>4.405279062922305E-2</v>
      </c>
      <c r="G279" s="20">
        <v>4.4015347611781941E-2</v>
      </c>
      <c r="H279" s="19"/>
      <c r="I279" s="27">
        <f t="shared" si="4"/>
        <v>11.04</v>
      </c>
      <c r="J279" s="20">
        <v>-6.6189484864732917E-5</v>
      </c>
      <c r="K279" s="20">
        <v>-6.6293110999557795E-5</v>
      </c>
    </row>
    <row r="280" spans="2:11" ht="16.2" x14ac:dyDescent="0.3">
      <c r="B280"/>
      <c r="C280"/>
      <c r="D280" s="19"/>
      <c r="E280" s="27">
        <v>11.08</v>
      </c>
      <c r="F280" s="20">
        <v>4.4050143049828461E-2</v>
      </c>
      <c r="G280" s="20">
        <v>4.4012700244301428E-2</v>
      </c>
      <c r="H280" s="19"/>
      <c r="I280" s="27">
        <f t="shared" si="4"/>
        <v>11.08</v>
      </c>
      <c r="J280" s="20">
        <v>-6.596092788409974E-5</v>
      </c>
      <c r="K280" s="20">
        <v>-6.6073796200231263E-5</v>
      </c>
    </row>
    <row r="281" spans="2:11" ht="16.2" x14ac:dyDescent="0.3">
      <c r="B281"/>
      <c r="C281"/>
      <c r="D281" s="19"/>
      <c r="E281" s="27">
        <v>11.12</v>
      </c>
      <c r="F281" s="20">
        <v>4.4047504612713097E-2</v>
      </c>
      <c r="G281" s="20">
        <v>4.4010061825806177E-2</v>
      </c>
      <c r="H281" s="19"/>
      <c r="I281" s="27">
        <f t="shared" si="4"/>
        <v>11.12</v>
      </c>
      <c r="J281" s="20">
        <v>-6.5723469119122191E-5</v>
      </c>
      <c r="K281" s="20">
        <v>-6.5845652372800627E-5</v>
      </c>
    </row>
    <row r="282" spans="2:11" ht="16.2" x14ac:dyDescent="0.3">
      <c r="B282"/>
      <c r="C282"/>
      <c r="D282" s="19"/>
      <c r="E282" s="27">
        <v>11.16</v>
      </c>
      <c r="F282" s="20">
        <v>4.4044875673948332E-2</v>
      </c>
      <c r="G282" s="20">
        <v>4.4007432710582585E-2</v>
      </c>
      <c r="H282" s="19"/>
      <c r="I282" s="27">
        <f t="shared" si="4"/>
        <v>11.16</v>
      </c>
      <c r="J282" s="20">
        <v>-6.5477053086231141E-5</v>
      </c>
      <c r="K282" s="20">
        <v>-6.5608623216531955E-5</v>
      </c>
    </row>
    <row r="283" spans="2:11" ht="16.2" x14ac:dyDescent="0.3">
      <c r="B283"/>
      <c r="C283"/>
      <c r="D283" s="19"/>
      <c r="E283" s="27">
        <v>11.2</v>
      </c>
      <c r="F283" s="20">
        <v>4.4042256591824883E-2</v>
      </c>
      <c r="G283" s="20">
        <v>4.4004813255173504E-2</v>
      </c>
      <c r="H283" s="19"/>
      <c r="I283" s="27">
        <f t="shared" si="4"/>
        <v>11.2</v>
      </c>
      <c r="J283" s="20">
        <v>-6.522162264727821E-5</v>
      </c>
      <c r="K283" s="20">
        <v>-6.5362652204025394E-5</v>
      </c>
    </row>
    <row r="284" spans="2:11" ht="16.2" x14ac:dyDescent="0.3">
      <c r="B284"/>
      <c r="C284"/>
      <c r="D284" s="19"/>
      <c r="E284" s="27">
        <v>11.24</v>
      </c>
      <c r="F284" s="20">
        <v>4.4039647726918991E-2</v>
      </c>
      <c r="G284" s="20">
        <v>4.4002203818387639E-2</v>
      </c>
      <c r="H284" s="19"/>
      <c r="I284" s="27">
        <f t="shared" si="4"/>
        <v>11.24</v>
      </c>
      <c r="J284" s="20">
        <v>-6.4957121010539298E-5</v>
      </c>
      <c r="K284" s="20">
        <v>-6.5107682580365451E-5</v>
      </c>
    </row>
    <row r="285" spans="2:11" ht="16.2" x14ac:dyDescent="0.3">
      <c r="B285"/>
      <c r="C285"/>
      <c r="D285" s="19"/>
      <c r="E285" s="27">
        <v>11.28</v>
      </c>
      <c r="F285" s="20">
        <v>4.403704944207857E-2</v>
      </c>
      <c r="G285" s="20">
        <v>4.3999604761308243E-2</v>
      </c>
      <c r="H285" s="19"/>
      <c r="I285" s="27">
        <f t="shared" si="4"/>
        <v>11.28</v>
      </c>
      <c r="J285" s="20">
        <v>-6.4683490292802293E-5</v>
      </c>
      <c r="K285" s="20">
        <v>-6.484365736225262E-5</v>
      </c>
    </row>
    <row r="286" spans="2:11" ht="16.2" x14ac:dyDescent="0.3">
      <c r="B286"/>
      <c r="C286"/>
      <c r="D286" s="19"/>
      <c r="E286" s="27">
        <v>11.32</v>
      </c>
      <c r="F286" s="20">
        <v>4.4034462102466858E-2</v>
      </c>
      <c r="G286" s="20">
        <v>4.3997016447302584E-2</v>
      </c>
      <c r="H286" s="19"/>
      <c r="I286" s="27">
        <f t="shared" si="4"/>
        <v>11.32</v>
      </c>
      <c r="J286" s="20">
        <v>-6.4400673143241716E-5</v>
      </c>
      <c r="K286" s="20">
        <v>-6.4570519337327537E-5</v>
      </c>
    </row>
    <row r="287" spans="2:11" ht="16.2" x14ac:dyDescent="0.3">
      <c r="B287"/>
      <c r="C287"/>
      <c r="D287" s="19"/>
      <c r="E287" s="27">
        <v>11.36</v>
      </c>
      <c r="F287" s="20">
        <v>4.4031886075541128E-2</v>
      </c>
      <c r="G287" s="20">
        <v>4.3994439242031148E-2</v>
      </c>
      <c r="H287" s="19"/>
      <c r="I287" s="27">
        <f t="shared" si="4"/>
        <v>11.36</v>
      </c>
      <c r="J287" s="20">
        <v>-6.4108612463607828E-5</v>
      </c>
      <c r="K287" s="20">
        <v>-6.4288211063083628E-5</v>
      </c>
    </row>
    <row r="288" spans="2:11" ht="16.2" x14ac:dyDescent="0.3">
      <c r="B288"/>
      <c r="C288"/>
      <c r="D288" s="19"/>
      <c r="E288" s="27">
        <v>11.4</v>
      </c>
      <c r="F288" s="20">
        <v>4.4029321731042584E-2</v>
      </c>
      <c r="G288" s="20">
        <v>4.399187351345641E-2</v>
      </c>
      <c r="H288" s="19"/>
      <c r="I288" s="27">
        <f t="shared" si="4"/>
        <v>11.4</v>
      </c>
      <c r="J288" s="20">
        <v>-6.3807248712119402E-5</v>
      </c>
      <c r="K288" s="20">
        <v>-6.399667486623912E-5</v>
      </c>
    </row>
    <row r="289" spans="2:11" ht="16.2" x14ac:dyDescent="0.3">
      <c r="B289"/>
      <c r="C289"/>
      <c r="D289" s="19"/>
      <c r="E289" s="27">
        <v>11.44</v>
      </c>
      <c r="F289" s="20">
        <v>4.4026769441094099E-2</v>
      </c>
      <c r="G289" s="20">
        <v>4.3989319631852701E-2</v>
      </c>
      <c r="H289" s="19"/>
      <c r="I289" s="27">
        <f t="shared" si="4"/>
        <v>11.44</v>
      </c>
      <c r="J289" s="20">
        <v>-6.3496525575662544E-5</v>
      </c>
      <c r="K289" s="20">
        <v>-6.3695852841749484E-5</v>
      </c>
    </row>
    <row r="290" spans="2:11" ht="16.2" x14ac:dyDescent="0.3">
      <c r="B290"/>
      <c r="C290"/>
      <c r="D290" s="19"/>
      <c r="E290" s="27">
        <v>11.48</v>
      </c>
      <c r="F290" s="20">
        <v>4.4024229580071073E-2</v>
      </c>
      <c r="G290" s="20">
        <v>4.398677796981517E-2</v>
      </c>
      <c r="H290" s="19"/>
      <c r="I290" s="27">
        <f t="shared" si="4"/>
        <v>11.48</v>
      </c>
      <c r="J290" s="20">
        <v>-6.3176382850832491E-5</v>
      </c>
      <c r="K290" s="20">
        <v>-6.3385686851960213E-5</v>
      </c>
    </row>
    <row r="291" spans="2:11" ht="16.2" x14ac:dyDescent="0.3">
      <c r="B291"/>
      <c r="C291"/>
      <c r="D291" s="19"/>
      <c r="E291" s="27">
        <v>11.52</v>
      </c>
      <c r="F291" s="20">
        <v>4.4021702524757039E-2</v>
      </c>
      <c r="G291" s="20">
        <v>4.3984248902268971E-2</v>
      </c>
      <c r="H291" s="19"/>
      <c r="I291" s="27">
        <f t="shared" si="4"/>
        <v>11.52</v>
      </c>
      <c r="J291" s="20">
        <v>-6.2846763278917583E-5</v>
      </c>
      <c r="K291" s="20">
        <v>-6.3066118525804008E-5</v>
      </c>
    </row>
    <row r="292" spans="2:11" ht="16.2" x14ac:dyDescent="0.3">
      <c r="B292"/>
      <c r="C292"/>
      <c r="D292" s="19"/>
      <c r="E292" s="27">
        <v>11.56</v>
      </c>
      <c r="F292" s="20">
        <v>4.4019188654225883E-2</v>
      </c>
      <c r="G292" s="20">
        <v>4.3981732806478886E-2</v>
      </c>
      <c r="H292" s="19"/>
      <c r="I292" s="27">
        <f t="shared" si="4"/>
        <v>11.56</v>
      </c>
      <c r="J292" s="20">
        <v>-6.2507606662064175E-5</v>
      </c>
      <c r="K292" s="20">
        <v>-6.2737089257774612E-5</v>
      </c>
    </row>
    <row r="293" spans="2:11" ht="16.2" x14ac:dyDescent="0.3">
      <c r="B293"/>
      <c r="C293"/>
      <c r="D293" s="19"/>
      <c r="E293" s="27">
        <v>11.6</v>
      </c>
      <c r="F293" s="20">
        <v>4.40166883499594E-2</v>
      </c>
      <c r="G293" s="20">
        <v>4.3979230062058713E-2</v>
      </c>
      <c r="H293" s="19"/>
      <c r="I293" s="27">
        <f t="shared" si="4"/>
        <v>11.6</v>
      </c>
      <c r="J293" s="20">
        <v>-6.2158854888250126E-5</v>
      </c>
      <c r="K293" s="20">
        <v>-6.239854020719329E-5</v>
      </c>
    </row>
    <row r="294" spans="2:11" ht="16.2" x14ac:dyDescent="0.3">
      <c r="B294"/>
      <c r="C294"/>
      <c r="D294" s="19"/>
      <c r="E294" s="27">
        <v>11.64</v>
      </c>
      <c r="F294" s="20">
        <v>4.401420199576387E-2</v>
      </c>
      <c r="G294" s="20">
        <v>4.3976741050980366E-2</v>
      </c>
      <c r="H294" s="19"/>
      <c r="I294" s="27">
        <f t="shared" si="4"/>
        <v>11.64</v>
      </c>
      <c r="J294" s="20">
        <v>-6.1800447766560684E-5</v>
      </c>
      <c r="K294" s="20">
        <v>-6.2050412297162872E-5</v>
      </c>
    </row>
    <row r="295" spans="2:11" ht="16.2" x14ac:dyDescent="0.3">
      <c r="B295"/>
      <c r="C295"/>
      <c r="D295" s="19"/>
      <c r="E295" s="27">
        <v>11.68</v>
      </c>
      <c r="F295" s="20">
        <v>4.4011729977853208E-2</v>
      </c>
      <c r="G295" s="20">
        <v>4.3974266157583715E-2</v>
      </c>
      <c r="H295" s="19"/>
      <c r="I295" s="27">
        <f t="shared" si="4"/>
        <v>11.68</v>
      </c>
      <c r="J295" s="20">
        <v>-6.1432325542884469E-5</v>
      </c>
      <c r="K295" s="20">
        <v>-6.1692646213800222E-5</v>
      </c>
    </row>
    <row r="296" spans="2:11" ht="16.2" x14ac:dyDescent="0.3">
      <c r="B296"/>
      <c r="C296"/>
      <c r="D296" s="19"/>
      <c r="E296" s="27">
        <v>11.72</v>
      </c>
      <c r="F296" s="20">
        <v>4.4009272684831492E-2</v>
      </c>
      <c r="G296" s="20">
        <v>4.397180576858617E-2</v>
      </c>
      <c r="H296" s="19"/>
      <c r="I296" s="27">
        <f t="shared" si="4"/>
        <v>11.72</v>
      </c>
      <c r="J296" s="20">
        <v>-6.1054429886971129E-5</v>
      </c>
      <c r="K296" s="20">
        <v>-6.1325182405132502E-5</v>
      </c>
    </row>
    <row r="297" spans="2:11" ht="16.2" x14ac:dyDescent="0.3">
      <c r="B297"/>
      <c r="C297"/>
      <c r="D297" s="19"/>
      <c r="E297" s="27">
        <v>11.76</v>
      </c>
      <c r="F297" s="20">
        <v>4.4006830507636013E-2</v>
      </c>
      <c r="G297" s="20">
        <v>4.3969360273091444E-2</v>
      </c>
      <c r="H297" s="19"/>
      <c r="I297" s="27">
        <f t="shared" si="4"/>
        <v>11.76</v>
      </c>
      <c r="J297" s="20">
        <v>-6.0666698518431483E-5</v>
      </c>
      <c r="K297" s="20">
        <v>-6.0947961080417389E-5</v>
      </c>
    </row>
    <row r="298" spans="2:11" ht="16.2" x14ac:dyDescent="0.3">
      <c r="B298"/>
      <c r="C298"/>
      <c r="D298" s="19"/>
      <c r="E298" s="27">
        <v>11.8</v>
      </c>
      <c r="F298" s="20">
        <v>4.4004403839695276E-2</v>
      </c>
      <c r="G298" s="20">
        <v>4.3966930062600176E-2</v>
      </c>
      <c r="H298" s="19"/>
      <c r="I298" s="27">
        <f t="shared" si="4"/>
        <v>11.8</v>
      </c>
      <c r="J298" s="20">
        <v>-6.0269071840840516E-5</v>
      </c>
      <c r="K298" s="20">
        <v>-6.056092220892718E-5</v>
      </c>
    </row>
    <row r="299" spans="2:11" ht="16.2" x14ac:dyDescent="0.3">
      <c r="B299"/>
      <c r="C299"/>
      <c r="D299" s="19"/>
      <c r="E299" s="27">
        <v>11.84</v>
      </c>
      <c r="F299" s="20">
        <v>4.4001993076821642E-2</v>
      </c>
      <c r="G299" s="20">
        <v>4.3964515531018843E-2</v>
      </c>
      <c r="H299" s="19"/>
      <c r="I299" s="27">
        <f t="shared" si="4"/>
        <v>11.84</v>
      </c>
      <c r="J299" s="20">
        <v>-5.9861490316753807E-5</v>
      </c>
      <c r="K299" s="20">
        <v>-6.016400551925312E-5</v>
      </c>
    </row>
    <row r="300" spans="2:11" ht="16.2" x14ac:dyDescent="0.3">
      <c r="B300"/>
      <c r="C300"/>
      <c r="D300" s="19"/>
      <c r="E300" s="27">
        <v>11.88</v>
      </c>
      <c r="F300" s="20">
        <v>4.3999598617208972E-2</v>
      </c>
      <c r="G300" s="20">
        <v>4.3962117074669675E-2</v>
      </c>
      <c r="H300" s="19"/>
      <c r="I300" s="27">
        <f t="shared" si="4"/>
        <v>11.88</v>
      </c>
      <c r="J300" s="20">
        <v>-5.9443892109524443E-5</v>
      </c>
      <c r="K300" s="20">
        <v>-5.9757150498160067E-5</v>
      </c>
    </row>
    <row r="301" spans="2:11" ht="16.2" x14ac:dyDescent="0.3">
      <c r="B301"/>
      <c r="C301"/>
      <c r="D301" s="19"/>
      <c r="E301" s="27">
        <v>11.92</v>
      </c>
      <c r="F301" s="20">
        <v>4.3997220861524591E-2</v>
      </c>
      <c r="G301" s="20">
        <v>4.3959735092299966E-2</v>
      </c>
      <c r="H301" s="19"/>
      <c r="I301" s="27">
        <f t="shared" si="4"/>
        <v>11.92</v>
      </c>
      <c r="J301" s="20">
        <v>-5.9016215126460325E-5</v>
      </c>
      <c r="K301" s="20">
        <v>-5.9340296389735933E-5</v>
      </c>
    </row>
    <row r="302" spans="2:11" ht="16.2" x14ac:dyDescent="0.3">
      <c r="B302"/>
      <c r="C302"/>
      <c r="D302" s="19"/>
      <c r="E302" s="27">
        <v>11.96</v>
      </c>
      <c r="F302" s="20">
        <v>4.3994860212919533E-2</v>
      </c>
      <c r="G302" s="20">
        <v>4.3957369985092934E-2</v>
      </c>
      <c r="H302" s="19"/>
      <c r="I302" s="27">
        <f t="shared" si="4"/>
        <v>11.96</v>
      </c>
      <c r="J302" s="20">
        <v>-5.8578400382279516E-5</v>
      </c>
      <c r="K302" s="20">
        <v>-5.8913382194352321E-5</v>
      </c>
    </row>
    <row r="303" spans="2:11" ht="16.2" x14ac:dyDescent="0.3">
      <c r="B303"/>
      <c r="C303"/>
      <c r="D303" s="19"/>
      <c r="E303" s="27">
        <v>12</v>
      </c>
      <c r="F303" s="20">
        <v>4.3992517076904242E-2</v>
      </c>
      <c r="G303" s="20">
        <v>4.3955022156675523E-2</v>
      </c>
      <c r="H303" s="19"/>
      <c r="I303" s="27">
        <f t="shared" si="4"/>
        <v>12</v>
      </c>
      <c r="J303" s="20">
        <v>-5.813038411375121E-5</v>
      </c>
      <c r="K303" s="20">
        <v>-5.8476346667763988E-5</v>
      </c>
    </row>
    <row r="304" spans="2:11" ht="16.2" x14ac:dyDescent="0.3">
      <c r="B304"/>
      <c r="C304"/>
      <c r="D304" s="19"/>
      <c r="E304" s="27">
        <v>12.04</v>
      </c>
      <c r="F304" s="20">
        <v>4.3990191861539692E-2</v>
      </c>
      <c r="G304" s="20">
        <v>4.3952692013130325E-2</v>
      </c>
      <c r="H304" s="19"/>
      <c r="I304" s="27">
        <f t="shared" si="4"/>
        <v>12.04</v>
      </c>
      <c r="J304" s="20">
        <v>-5.7672105958916919E-5</v>
      </c>
      <c r="K304" s="20">
        <v>-5.8029128319946401E-5</v>
      </c>
    </row>
    <row r="305" spans="2:11" ht="16.2" x14ac:dyDescent="0.3">
      <c r="B305"/>
      <c r="C305"/>
      <c r="D305" s="19"/>
      <c r="E305" s="27">
        <v>12.08</v>
      </c>
      <c r="F305" s="20">
        <v>4.3987884977301335E-2</v>
      </c>
      <c r="G305" s="20">
        <v>4.3950379963003973E-2</v>
      </c>
      <c r="H305" s="19"/>
      <c r="I305" s="27">
        <f t="shared" si="4"/>
        <v>12.08</v>
      </c>
      <c r="J305" s="20">
        <v>-5.7203503136399325E-5</v>
      </c>
      <c r="K305" s="20">
        <v>-5.7571665414333201E-5</v>
      </c>
    </row>
    <row r="306" spans="2:11" ht="16.2" x14ac:dyDescent="0.3">
      <c r="B306"/>
      <c r="C306"/>
      <c r="D306" s="19"/>
      <c r="E306" s="27">
        <v>12.12</v>
      </c>
      <c r="F306" s="20">
        <v>4.3985596837175879E-2</v>
      </c>
      <c r="G306" s="20">
        <v>4.3948086417317615E-2</v>
      </c>
      <c r="H306" s="19"/>
      <c r="I306" s="27">
        <f t="shared" si="4"/>
        <v>12.12</v>
      </c>
      <c r="J306" s="20">
        <v>-5.6724513205694271E-5</v>
      </c>
      <c r="K306" s="20">
        <v>-5.7103895966558336E-5</v>
      </c>
    </row>
    <row r="307" spans="2:11" ht="16.2" x14ac:dyDescent="0.3">
      <c r="B307"/>
      <c r="C307"/>
      <c r="D307" s="19"/>
      <c r="E307" s="27">
        <v>12.16</v>
      </c>
      <c r="F307" s="20">
        <v>4.3983327856647651E-2</v>
      </c>
      <c r="G307" s="20">
        <v>4.3945811789576773E-2</v>
      </c>
      <c r="H307" s="19"/>
      <c r="I307" s="27">
        <f t="shared" si="4"/>
        <v>12.16</v>
      </c>
      <c r="J307" s="20">
        <v>-5.6235073376230404E-5</v>
      </c>
      <c r="K307" s="20">
        <v>-5.6625757743611971E-5</v>
      </c>
    </row>
    <row r="308" spans="2:11" ht="16.2" x14ac:dyDescent="0.3">
      <c r="B308"/>
      <c r="C308"/>
      <c r="D308" s="19"/>
      <c r="E308" s="27">
        <v>12.2</v>
      </c>
      <c r="F308" s="20">
        <v>4.3981078453712602E-2</v>
      </c>
      <c r="G308" s="20">
        <v>4.3943556495781411E-2</v>
      </c>
      <c r="H308" s="19"/>
      <c r="I308" s="27">
        <f t="shared" si="4"/>
        <v>12.2</v>
      </c>
      <c r="J308" s="20">
        <v>-5.5735122001139559E-5</v>
      </c>
      <c r="K308" s="20">
        <v>-5.6137188262672726E-5</v>
      </c>
    </row>
    <row r="309" spans="2:11" ht="16.2" x14ac:dyDescent="0.3">
      <c r="B309"/>
      <c r="C309"/>
      <c r="D309" s="19"/>
      <c r="E309" s="27">
        <v>12.24</v>
      </c>
      <c r="F309" s="20">
        <v>4.3978849048832556E-2</v>
      </c>
      <c r="G309" s="20">
        <v>4.3941320954435585E-2</v>
      </c>
      <c r="H309" s="19"/>
      <c r="I309" s="27">
        <f t="shared" si="4"/>
        <v>12.24</v>
      </c>
      <c r="J309" s="20">
        <v>-5.5224595194025561E-5</v>
      </c>
      <c r="K309" s="20">
        <v>-5.5638124790128336E-5</v>
      </c>
    </row>
    <row r="310" spans="2:11" ht="16.2" x14ac:dyDescent="0.3">
      <c r="B310"/>
      <c r="C310"/>
      <c r="D310" s="19"/>
      <c r="E310" s="27">
        <v>12.28</v>
      </c>
      <c r="F310" s="20">
        <v>4.3976640065024795E-2</v>
      </c>
      <c r="G310" s="20">
        <v>4.3939105586557857E-2</v>
      </c>
      <c r="H310" s="19"/>
      <c r="I310" s="27">
        <f t="shared" si="4"/>
        <v>12.28</v>
      </c>
      <c r="J310" s="20">
        <v>-5.4703428503839746E-5</v>
      </c>
      <c r="K310" s="20">
        <v>-5.5128504340567171E-5</v>
      </c>
    </row>
    <row r="311" spans="2:11" ht="16.2" x14ac:dyDescent="0.3">
      <c r="B311"/>
      <c r="C311"/>
      <c r="D311" s="19"/>
      <c r="E311" s="27">
        <v>12.32</v>
      </c>
      <c r="F311" s="20">
        <v>4.3974451927884642E-2</v>
      </c>
      <c r="G311" s="20">
        <v>4.3936910815691045E-2</v>
      </c>
      <c r="H311" s="19"/>
      <c r="I311" s="27">
        <f t="shared" si="4"/>
        <v>12.32</v>
      </c>
      <c r="J311" s="20">
        <v>-5.4171561031032822E-5</v>
      </c>
      <c r="K311" s="20">
        <v>-5.460826367557568E-5</v>
      </c>
    </row>
    <row r="312" spans="2:11" ht="16.2" x14ac:dyDescent="0.3">
      <c r="B312"/>
      <c r="C312"/>
      <c r="D312" s="19"/>
      <c r="E312" s="27">
        <v>12.36</v>
      </c>
      <c r="F312" s="20">
        <v>4.3972285065443401E-2</v>
      </c>
      <c r="G312" s="20">
        <v>4.3934737067913086E-2</v>
      </c>
      <c r="H312" s="19"/>
      <c r="I312" s="27">
        <f t="shared" si="4"/>
        <v>12.36</v>
      </c>
      <c r="J312" s="20">
        <v>-5.3628925712409514E-5</v>
      </c>
      <c r="K312" s="20">
        <v>-5.4077339302786399E-5</v>
      </c>
    </row>
    <row r="313" spans="2:11" ht="16.2" x14ac:dyDescent="0.3">
      <c r="B313"/>
      <c r="C313"/>
      <c r="D313" s="19"/>
      <c r="E313" s="27">
        <v>12.4</v>
      </c>
      <c r="F313" s="20">
        <v>4.3970139908414904E-2</v>
      </c>
      <c r="G313" s="20">
        <v>4.3932584771846181E-2</v>
      </c>
      <c r="H313" s="19"/>
      <c r="I313" s="27">
        <f t="shared" si="4"/>
        <v>12.4</v>
      </c>
      <c r="J313" s="20">
        <v>-5.3075461445457883E-5</v>
      </c>
      <c r="K313" s="20">
        <v>-5.3535667474681742E-5</v>
      </c>
    </row>
    <row r="314" spans="2:11" ht="16.2" x14ac:dyDescent="0.3">
      <c r="B314"/>
      <c r="C314"/>
      <c r="D314" s="19"/>
      <c r="E314" s="27">
        <v>12.44</v>
      </c>
      <c r="F314" s="20">
        <v>4.3968016889957086E-2</v>
      </c>
      <c r="G314" s="20">
        <v>4.3930454358667763E-2</v>
      </c>
      <c r="H314" s="19"/>
      <c r="I314" s="27">
        <f t="shared" si="4"/>
        <v>12.44</v>
      </c>
      <c r="J314" s="20">
        <v>-5.2511101243657432E-5</v>
      </c>
      <c r="K314" s="20">
        <v>-5.2983184187618259E-5</v>
      </c>
    </row>
    <row r="315" spans="2:11" ht="16.2" x14ac:dyDescent="0.3">
      <c r="B315"/>
      <c r="C315"/>
      <c r="D315" s="19"/>
      <c r="E315" s="27">
        <v>12.48</v>
      </c>
      <c r="F315" s="20">
        <v>4.396591644590734E-2</v>
      </c>
      <c r="G315" s="20">
        <v>4.3928346262120617E-2</v>
      </c>
      <c r="H315" s="19"/>
      <c r="I315" s="27">
        <f t="shared" si="4"/>
        <v>12.48</v>
      </c>
      <c r="J315" s="20">
        <v>-5.1935782994540214E-5</v>
      </c>
      <c r="K315" s="20">
        <v>-5.2419825180537874E-5</v>
      </c>
    </row>
    <row r="316" spans="2:11" ht="16.2" x14ac:dyDescent="0.3">
      <c r="B316"/>
      <c r="C316"/>
      <c r="D316" s="19"/>
      <c r="E316" s="27">
        <v>12.52</v>
      </c>
      <c r="F316" s="20">
        <v>4.3963839014587558E-2</v>
      </c>
      <c r="G316" s="20">
        <v>4.39262609185231E-2</v>
      </c>
      <c r="H316" s="19"/>
      <c r="I316" s="27">
        <f t="shared" si="4"/>
        <v>12.52</v>
      </c>
      <c r="J316" s="20">
        <v>-5.1349438880306242E-5</v>
      </c>
      <c r="K316" s="20">
        <v>-5.1845525934038544E-5</v>
      </c>
    </row>
    <row r="317" spans="2:11" ht="16.2" x14ac:dyDescent="0.3">
      <c r="B317"/>
      <c r="C317"/>
      <c r="D317" s="19"/>
      <c r="E317" s="27">
        <v>12.56</v>
      </c>
      <c r="F317" s="20">
        <v>4.3961785037032346E-2</v>
      </c>
      <c r="G317" s="20">
        <v>4.3924198766779304E-2</v>
      </c>
      <c r="H317" s="19"/>
      <c r="I317" s="27">
        <f t="shared" si="4"/>
        <v>12.56</v>
      </c>
      <c r="J317" s="20">
        <v>-5.0752006678332628E-5</v>
      </c>
      <c r="K317" s="20">
        <v>-5.126022166906078E-5</v>
      </c>
    </row>
    <row r="318" spans="2:11" ht="16.2" x14ac:dyDescent="0.3">
      <c r="B318"/>
      <c r="C318"/>
      <c r="D318" s="19"/>
      <c r="E318" s="27">
        <v>12.6</v>
      </c>
      <c r="F318" s="20">
        <v>4.3959754956765212E-2</v>
      </c>
      <c r="G318" s="20">
        <v>4.3922160248390178E-2</v>
      </c>
      <c r="H318" s="19"/>
      <c r="I318" s="27">
        <f t="shared" si="4"/>
        <v>12.6</v>
      </c>
      <c r="J318" s="20">
        <v>-5.0143419358557317E-5</v>
      </c>
      <c r="K318" s="20">
        <v>-5.0663847345860157E-5</v>
      </c>
    </row>
    <row r="319" spans="2:11" ht="16.2" x14ac:dyDescent="0.3">
      <c r="B319"/>
      <c r="C319"/>
      <c r="D319" s="19"/>
      <c r="E319" s="27">
        <v>12.64</v>
      </c>
      <c r="F319" s="20">
        <v>4.395774921999087E-2</v>
      </c>
      <c r="G319" s="20">
        <v>4.3920145807463028E-2</v>
      </c>
      <c r="H319" s="19"/>
      <c r="I319" s="27">
        <f t="shared" si="4"/>
        <v>12.64</v>
      </c>
      <c r="J319" s="20">
        <v>-4.9523610730350942E-5</v>
      </c>
      <c r="K319" s="20">
        <v>-5.0056337662781914E-5</v>
      </c>
    </row>
    <row r="320" spans="2:11" ht="16.2" x14ac:dyDescent="0.3">
      <c r="B320"/>
      <c r="C320"/>
      <c r="D320" s="19"/>
      <c r="E320" s="27">
        <v>12.68</v>
      </c>
      <c r="F320" s="20">
        <v>4.3955768275561656E-2</v>
      </c>
      <c r="G320" s="20">
        <v>4.3918155890722642E-2</v>
      </c>
      <c r="H320" s="19"/>
      <c r="I320" s="27">
        <f t="shared" si="4"/>
        <v>12.68</v>
      </c>
      <c r="J320" s="20">
        <v>-4.889251729311983E-5</v>
      </c>
      <c r="K320" s="20">
        <v>-4.943762705511498E-5</v>
      </c>
    </row>
    <row r="321" spans="2:11" ht="16.2" x14ac:dyDescent="0.3">
      <c r="B321"/>
      <c r="C321"/>
      <c r="D321" s="19"/>
      <c r="E321" s="27">
        <v>12.72</v>
      </c>
      <c r="F321" s="20">
        <v>4.3953812574869931E-2</v>
      </c>
      <c r="G321" s="20">
        <v>4.391619094752184E-2</v>
      </c>
      <c r="H321" s="19"/>
      <c r="I321" s="27">
        <f t="shared" si="4"/>
        <v>12.72</v>
      </c>
      <c r="J321" s="20">
        <v>-4.8250069580209332E-5</v>
      </c>
      <c r="K321" s="20">
        <v>-4.8807649693886013E-5</v>
      </c>
    </row>
    <row r="322" spans="2:11" ht="16.2" x14ac:dyDescent="0.3">
      <c r="B322"/>
      <c r="C322"/>
      <c r="D322" s="19"/>
      <c r="E322" s="27">
        <v>12.76</v>
      </c>
      <c r="F322" s="20">
        <v>4.3951882572086723E-2</v>
      </c>
      <c r="G322" s="20">
        <v>4.3914251429851697E-2</v>
      </c>
      <c r="H322" s="19"/>
      <c r="I322" s="27">
        <f t="shared" si="4"/>
        <v>12.76</v>
      </c>
      <c r="J322" s="20">
        <v>-4.7596203866552556E-5</v>
      </c>
      <c r="K322" s="20">
        <v>-4.8166339484610019E-5</v>
      </c>
    </row>
    <row r="323" spans="2:11" ht="16.2" x14ac:dyDescent="0.3">
      <c r="B323"/>
      <c r="C323"/>
      <c r="D323" s="19"/>
      <c r="E323" s="27">
        <v>12.8</v>
      </c>
      <c r="F323" s="20">
        <v>4.3949978723932061E-2</v>
      </c>
      <c r="G323" s="20">
        <v>4.391233779235252E-2</v>
      </c>
      <c r="H323" s="19"/>
      <c r="I323" s="27">
        <f t="shared" si="4"/>
        <v>12.8</v>
      </c>
      <c r="J323" s="20">
        <v>-4.6930851364986037E-5</v>
      </c>
      <c r="K323" s="20">
        <v>-4.7513630066256253E-5</v>
      </c>
    </row>
    <row r="324" spans="2:11" ht="16.2" x14ac:dyDescent="0.3">
      <c r="B324"/>
      <c r="C324"/>
      <c r="D324" s="19"/>
      <c r="E324" s="27">
        <v>12.84</v>
      </c>
      <c r="F324" s="20">
        <v>4.3948101489877461E-2</v>
      </c>
      <c r="G324" s="20">
        <v>4.391045049232406E-2</v>
      </c>
      <c r="H324" s="19"/>
      <c r="I324" s="27">
        <f t="shared" ref="I324:I387" si="5">IF(E324&lt;&gt;"",E324,"")</f>
        <v>12.84</v>
      </c>
      <c r="J324" s="20">
        <v>-4.6253947108380877E-5</v>
      </c>
      <c r="K324" s="20">
        <v>-4.6849454809794519E-5</v>
      </c>
    </row>
    <row r="325" spans="2:11" ht="16.2" x14ac:dyDescent="0.3">
      <c r="B325"/>
      <c r="C325"/>
      <c r="D325" s="19"/>
      <c r="E325" s="27">
        <v>12.88</v>
      </c>
      <c r="F325" s="20">
        <v>4.3946251331993126E-2</v>
      </c>
      <c r="G325" s="20">
        <v>4.3908589989737311E-2</v>
      </c>
      <c r="H325" s="19"/>
      <c r="I325" s="27">
        <f t="shared" si="5"/>
        <v>12.88</v>
      </c>
      <c r="J325" s="20">
        <v>-4.5565420939315537E-5</v>
      </c>
      <c r="K325" s="20">
        <v>-4.6173746817068297E-5</v>
      </c>
    </row>
    <row r="326" spans="2:11" ht="16.2" x14ac:dyDescent="0.3">
      <c r="B326"/>
      <c r="C326"/>
      <c r="D326" s="19"/>
      <c r="E326" s="27">
        <v>12.92</v>
      </c>
      <c r="F326" s="20">
        <v>4.3944428715155553E-2</v>
      </c>
      <c r="G326" s="20">
        <v>4.3906756747244084E-2</v>
      </c>
      <c r="H326" s="19"/>
      <c r="I326" s="27">
        <f t="shared" si="5"/>
        <v>12.92</v>
      </c>
      <c r="J326" s="20">
        <v>-4.4865208894372122E-5</v>
      </c>
      <c r="K326" s="20">
        <v>-4.548643891956243E-5</v>
      </c>
    </row>
    <row r="327" spans="2:11" ht="16.2" x14ac:dyDescent="0.3">
      <c r="B327"/>
      <c r="C327"/>
      <c r="D327" s="19"/>
      <c r="E327" s="27">
        <v>12.96</v>
      </c>
      <c r="F327" s="20">
        <v>4.3942634106799779E-2</v>
      </c>
      <c r="G327" s="20">
        <v>4.390495123018838E-2</v>
      </c>
      <c r="H327" s="19"/>
      <c r="I327" s="27">
        <f t="shared" si="5"/>
        <v>12.96</v>
      </c>
      <c r="J327" s="20">
        <v>-4.4153241090041928E-5</v>
      </c>
      <c r="K327" s="20">
        <v>-4.478746367709666E-5</v>
      </c>
    </row>
    <row r="328" spans="2:11" ht="16.2" x14ac:dyDescent="0.3">
      <c r="B328"/>
      <c r="C328"/>
      <c r="D328" s="19"/>
      <c r="E328" s="27">
        <v>13</v>
      </c>
      <c r="F328" s="20">
        <v>4.3940867977156177E-2</v>
      </c>
      <c r="G328" s="20">
        <v>4.3903173906617264E-2</v>
      </c>
      <c r="H328" s="19"/>
      <c r="I328" s="27">
        <f t="shared" si="5"/>
        <v>13</v>
      </c>
      <c r="J328" s="20">
        <v>-4.3429447558161749E-5</v>
      </c>
      <c r="K328" s="20">
        <v>-4.4076753376561198E-5</v>
      </c>
    </row>
    <row r="329" spans="2:11" ht="16.2" x14ac:dyDescent="0.3">
      <c r="B329"/>
      <c r="C329"/>
      <c r="D329" s="19"/>
      <c r="E329" s="27">
        <v>13.04</v>
      </c>
      <c r="F329" s="20">
        <v>4.393913079925385E-2</v>
      </c>
      <c r="G329" s="20">
        <v>4.3901425247291993E-2</v>
      </c>
      <c r="H329" s="19"/>
      <c r="I329" s="27">
        <f t="shared" si="5"/>
        <v>13.04</v>
      </c>
      <c r="J329" s="20">
        <v>-4.2693765184981247E-5</v>
      </c>
      <c r="K329" s="20">
        <v>-4.3354240030593361E-5</v>
      </c>
    </row>
    <row r="330" spans="2:11" ht="16.2" x14ac:dyDescent="0.3">
      <c r="B330"/>
      <c r="C330"/>
      <c r="D330" s="19"/>
      <c r="E330" s="27">
        <v>13.08</v>
      </c>
      <c r="F330" s="20">
        <v>4.3937423048646451E-2</v>
      </c>
      <c r="G330" s="20">
        <v>4.3899705725698755E-2</v>
      </c>
      <c r="H330" s="19"/>
      <c r="I330" s="27">
        <f t="shared" si="5"/>
        <v>13.08</v>
      </c>
      <c r="J330" s="20">
        <v>-4.1946119419024319E-5</v>
      </c>
      <c r="K330" s="20">
        <v>-4.2619855376261236E-5</v>
      </c>
    </row>
    <row r="331" spans="2:11" ht="16.2" x14ac:dyDescent="0.3">
      <c r="B331"/>
      <c r="C331"/>
      <c r="D331" s="19"/>
      <c r="E331" s="27">
        <v>13.12</v>
      </c>
      <c r="F331" s="20">
        <v>4.393574520386969E-2</v>
      </c>
      <c r="G331" s="20">
        <v>4.3898015818059778E-2</v>
      </c>
      <c r="H331" s="19"/>
      <c r="I331" s="27">
        <f t="shared" si="5"/>
        <v>13.12</v>
      </c>
      <c r="J331" s="20">
        <v>-4.1186444731458605E-5</v>
      </c>
      <c r="K331" s="20">
        <v>-4.187353087383702E-5</v>
      </c>
    </row>
    <row r="332" spans="2:11" ht="16.2" x14ac:dyDescent="0.3">
      <c r="B332"/>
      <c r="C332"/>
      <c r="D332" s="19"/>
      <c r="E332" s="27">
        <v>13.16</v>
      </c>
      <c r="F332" s="20">
        <v>4.3934097746080432E-2</v>
      </c>
      <c r="G332" s="20">
        <v>4.389635600334426E-2</v>
      </c>
      <c r="H332" s="19"/>
      <c r="I332" s="27">
        <f t="shared" si="5"/>
        <v>13.16</v>
      </c>
      <c r="J332" s="20">
        <v>-4.0414672640085025E-5</v>
      </c>
      <c r="K332" s="20">
        <v>-4.1115197705316042E-5</v>
      </c>
    </row>
    <row r="333" spans="2:11" ht="16.2" x14ac:dyDescent="0.3">
      <c r="B333"/>
      <c r="C333"/>
      <c r="D333" s="19"/>
      <c r="E333" s="27">
        <v>13.2</v>
      </c>
      <c r="F333" s="20">
        <v>4.3932481159174828E-2</v>
      </c>
      <c r="G333" s="20">
        <v>4.3894726763280108E-2</v>
      </c>
      <c r="H333" s="19"/>
      <c r="I333" s="27">
        <f t="shared" si="5"/>
        <v>13.2</v>
      </c>
      <c r="J333" s="20">
        <v>-3.9630729689252298E-5</v>
      </c>
      <c r="K333" s="20">
        <v>-4.0344786773181244E-5</v>
      </c>
    </row>
    <row r="334" spans="2:11" ht="16.2" x14ac:dyDescent="0.3">
      <c r="B334"/>
      <c r="C334"/>
      <c r="D334" s="19"/>
      <c r="E334" s="27">
        <v>13.24</v>
      </c>
      <c r="F334" s="20">
        <v>4.3930895929987258E-2</v>
      </c>
      <c r="G334" s="20">
        <v>4.3893128582364278E-2</v>
      </c>
      <c r="H334" s="19"/>
      <c r="I334" s="27">
        <f t="shared" si="5"/>
        <v>13.24</v>
      </c>
      <c r="J334" s="20">
        <v>-3.8834550572172666E-5</v>
      </c>
      <c r="K334" s="20">
        <v>-3.9562228698971367E-5</v>
      </c>
    </row>
    <row r="335" spans="2:11" ht="16.2" x14ac:dyDescent="0.3">
      <c r="B335"/>
      <c r="C335"/>
      <c r="D335" s="19"/>
      <c r="E335" s="27">
        <v>13.28</v>
      </c>
      <c r="F335" s="20">
        <v>4.3929342547964371E-2</v>
      </c>
      <c r="G335" s="20">
        <v>4.3891561947874774E-2</v>
      </c>
      <c r="H335" s="19"/>
      <c r="I335" s="27">
        <f t="shared" si="5"/>
        <v>13.28</v>
      </c>
      <c r="J335" s="20">
        <v>-3.8026062723628407E-5</v>
      </c>
      <c r="K335" s="20">
        <v>-3.8767453821918579E-5</v>
      </c>
    </row>
    <row r="336" spans="2:11" ht="16.2" x14ac:dyDescent="0.3">
      <c r="B336"/>
      <c r="C336"/>
      <c r="D336" s="19"/>
      <c r="E336" s="27">
        <v>13.32</v>
      </c>
      <c r="F336" s="20">
        <v>4.3927821505455426E-2</v>
      </c>
      <c r="G336" s="20">
        <v>4.3890027349881629E-2</v>
      </c>
      <c r="H336" s="19"/>
      <c r="I336" s="27">
        <f t="shared" si="5"/>
        <v>13.32</v>
      </c>
      <c r="J336" s="20">
        <v>-3.7205195575762406E-5</v>
      </c>
      <c r="K336" s="20">
        <v>-3.7960392197534258E-5</v>
      </c>
    </row>
    <row r="337" spans="2:11" ht="16.2" x14ac:dyDescent="0.3">
      <c r="B337"/>
      <c r="C337"/>
      <c r="D337" s="19"/>
      <c r="E337" s="27">
        <v>13.36</v>
      </c>
      <c r="F337" s="20">
        <v>4.3926333297632396E-2</v>
      </c>
      <c r="G337" s="20">
        <v>4.3888525281258452E-2</v>
      </c>
      <c r="H337" s="19"/>
      <c r="I337" s="27">
        <f t="shared" si="5"/>
        <v>13.36</v>
      </c>
      <c r="J337" s="20">
        <v>-3.6371880689570202E-5</v>
      </c>
      <c r="K337" s="20">
        <v>-3.714097359620899E-5</v>
      </c>
    </row>
    <row r="338" spans="2:11" ht="16.2" x14ac:dyDescent="0.3">
      <c r="B338"/>
      <c r="C338"/>
      <c r="D338" s="19"/>
      <c r="E338" s="27">
        <v>13.4</v>
      </c>
      <c r="F338" s="20">
        <v>4.3924878422404813E-2</v>
      </c>
      <c r="G338" s="20">
        <v>4.388705623769365E-2</v>
      </c>
      <c r="H338" s="19"/>
      <c r="I338" s="27">
        <f t="shared" si="5"/>
        <v>13.4</v>
      </c>
      <c r="J338" s="20">
        <v>-3.5526043884979985E-5</v>
      </c>
      <c r="K338" s="20">
        <v>-3.6309127501774669E-5</v>
      </c>
    </row>
    <row r="339" spans="2:11" ht="16.2" x14ac:dyDescent="0.3">
      <c r="B339"/>
      <c r="C339"/>
      <c r="D339" s="19"/>
      <c r="E339" s="27">
        <v>13.44</v>
      </c>
      <c r="F339" s="20">
        <v>4.3923457380649414E-2</v>
      </c>
      <c r="G339" s="20">
        <v>4.3885620717702148E-2</v>
      </c>
      <c r="H339" s="19"/>
      <c r="I339" s="27">
        <f t="shared" si="5"/>
        <v>13.44</v>
      </c>
      <c r="J339" s="20">
        <v>-3.4667616985104011E-5</v>
      </c>
      <c r="K339" s="20">
        <v>-3.5464783110057728E-5</v>
      </c>
    </row>
    <row r="340" spans="2:11" ht="16.2" x14ac:dyDescent="0.3">
      <c r="B340"/>
      <c r="C340"/>
      <c r="D340" s="19"/>
      <c r="E340" s="27">
        <v>13.48</v>
      </c>
      <c r="F340" s="20">
        <v>4.392207067597001E-2</v>
      </c>
      <c r="G340" s="20">
        <v>4.3884219222636751E-2</v>
      </c>
      <c r="H340" s="19"/>
      <c r="I340" s="27">
        <f t="shared" si="5"/>
        <v>13.48</v>
      </c>
      <c r="J340" s="20">
        <v>-3.3796527117678499E-5</v>
      </c>
      <c r="K340" s="20">
        <v>-3.4607869327440955E-5</v>
      </c>
    </row>
    <row r="341" spans="2:11" ht="16.2" x14ac:dyDescent="0.3">
      <c r="B341"/>
      <c r="C341"/>
      <c r="D341" s="19"/>
      <c r="E341" s="27">
        <v>13.52</v>
      </c>
      <c r="F341" s="20">
        <v>4.3920718814885303E-2</v>
      </c>
      <c r="G341" s="20">
        <v>4.3882852256699426E-2</v>
      </c>
      <c r="H341" s="19"/>
      <c r="I341" s="27">
        <f t="shared" si="5"/>
        <v>13.52</v>
      </c>
      <c r="J341" s="20">
        <v>-3.291270226461751E-5</v>
      </c>
      <c r="K341" s="20">
        <v>-3.3738314769318122E-5</v>
      </c>
    </row>
    <row r="342" spans="2:11" ht="16.2" x14ac:dyDescent="0.3">
      <c r="B342"/>
      <c r="C342"/>
      <c r="D342" s="19"/>
      <c r="E342" s="27">
        <v>13.56</v>
      </c>
      <c r="F342" s="20">
        <v>4.3919402306794718E-2</v>
      </c>
      <c r="G342" s="20">
        <v>4.3881520326954367E-2</v>
      </c>
      <c r="H342" s="19"/>
      <c r="I342" s="27">
        <f t="shared" si="5"/>
        <v>13.56</v>
      </c>
      <c r="J342" s="20">
        <v>-3.2016070114319894E-5</v>
      </c>
      <c r="K342" s="20">
        <v>-3.2856047758687235E-5</v>
      </c>
    </row>
    <row r="343" spans="2:11" ht="16.2" x14ac:dyDescent="0.3">
      <c r="B343"/>
      <c r="C343"/>
      <c r="D343" s="19"/>
      <c r="E343" s="27">
        <v>13.6</v>
      </c>
      <c r="F343" s="20">
        <v>4.3918121663990145E-2</v>
      </c>
      <c r="G343" s="20">
        <v>4.3880223943337564E-2</v>
      </c>
      <c r="H343" s="19"/>
      <c r="I343" s="27">
        <f t="shared" si="5"/>
        <v>13.6</v>
      </c>
      <c r="J343" s="20">
        <v>-3.1106560284370477E-5</v>
      </c>
      <c r="K343" s="20">
        <v>-3.1960996324557157E-5</v>
      </c>
    </row>
    <row r="344" spans="2:11" ht="16.2" x14ac:dyDescent="0.3">
      <c r="B344"/>
      <c r="C344"/>
      <c r="D344" s="19"/>
      <c r="E344" s="27">
        <v>13.64</v>
      </c>
      <c r="F344" s="20">
        <v>4.391687740157877E-2</v>
      </c>
      <c r="G344" s="20">
        <v>4.3878963618670802E-2</v>
      </c>
      <c r="H344" s="19"/>
      <c r="I344" s="27">
        <f t="shared" si="5"/>
        <v>13.64</v>
      </c>
      <c r="J344" s="20">
        <v>-3.0184096584152942E-5</v>
      </c>
      <c r="K344" s="20">
        <v>-3.1053088200434941E-5</v>
      </c>
    </row>
    <row r="345" spans="2:11" ht="16.2" x14ac:dyDescent="0.3">
      <c r="B345"/>
      <c r="C345"/>
      <c r="D345" s="19"/>
      <c r="E345" s="27">
        <v>13.68</v>
      </c>
      <c r="F345" s="20">
        <v>4.3915670037715404E-2</v>
      </c>
      <c r="G345" s="20">
        <v>4.3877739868671516E-2</v>
      </c>
      <c r="H345" s="19"/>
      <c r="I345" s="27">
        <f t="shared" si="5"/>
        <v>13.68</v>
      </c>
      <c r="J345" s="20">
        <v>-2.9248610375169626E-5</v>
      </c>
      <c r="K345" s="20">
        <v>-3.0132250822858304E-5</v>
      </c>
    </row>
    <row r="346" spans="2:11" ht="16.2" x14ac:dyDescent="0.3">
      <c r="B346"/>
      <c r="C346"/>
      <c r="D346" s="19"/>
      <c r="E346" s="27">
        <v>13.72</v>
      </c>
      <c r="F346" s="20">
        <v>4.3914500093300397E-2</v>
      </c>
      <c r="G346" s="20">
        <v>4.3876553211966374E-2</v>
      </c>
      <c r="H346" s="19"/>
      <c r="I346" s="27">
        <f t="shared" si="5"/>
        <v>13.72</v>
      </c>
      <c r="J346" s="20">
        <v>-2.8300023792102169E-5</v>
      </c>
      <c r="K346" s="20">
        <v>-2.9198411329697724E-5</v>
      </c>
    </row>
    <row r="347" spans="2:11" ht="16.2" x14ac:dyDescent="0.3">
      <c r="B347"/>
      <c r="C347"/>
      <c r="D347" s="19"/>
      <c r="E347" s="27">
        <v>13.76</v>
      </c>
      <c r="F347" s="20">
        <v>4.3913368092348713E-2</v>
      </c>
      <c r="G347" s="20">
        <v>4.3875404170102043E-2</v>
      </c>
      <c r="H347" s="19"/>
      <c r="I347" s="27">
        <f t="shared" si="5"/>
        <v>13.76</v>
      </c>
      <c r="J347" s="20">
        <v>-2.7338267501002267E-5</v>
      </c>
      <c r="K347" s="20">
        <v>-2.8251496558697692E-5</v>
      </c>
    </row>
    <row r="348" spans="2:11" ht="16.2" x14ac:dyDescent="0.3">
      <c r="B348"/>
      <c r="C348"/>
      <c r="D348" s="19"/>
      <c r="E348" s="27">
        <v>13.8</v>
      </c>
      <c r="F348" s="20">
        <v>4.3912274561648673E-2</v>
      </c>
      <c r="G348" s="20">
        <v>4.3874293267558179E-2</v>
      </c>
      <c r="H348" s="19"/>
      <c r="I348" s="27">
        <f t="shared" si="5"/>
        <v>13.8</v>
      </c>
      <c r="J348" s="20">
        <v>-2.6363263653725322E-5</v>
      </c>
      <c r="K348" s="20">
        <v>-2.7291433045714864E-5</v>
      </c>
    </row>
    <row r="349" spans="2:11" ht="16.2" x14ac:dyDescent="0.3">
      <c r="B349"/>
      <c r="C349"/>
      <c r="D349" s="19"/>
      <c r="E349" s="27">
        <v>13.84</v>
      </c>
      <c r="F349" s="20">
        <v>4.3911220031102524E-2</v>
      </c>
      <c r="G349" s="20">
        <v>4.3873221031758447E-2</v>
      </c>
      <c r="H349" s="19"/>
      <c r="I349" s="27">
        <f t="shared" si="5"/>
        <v>13.84</v>
      </c>
      <c r="J349" s="20">
        <v>-2.5374941572085807E-5</v>
      </c>
      <c r="K349" s="20">
        <v>-2.6318147023380583E-5</v>
      </c>
    </row>
    <row r="350" spans="2:11" ht="16.2" x14ac:dyDescent="0.3">
      <c r="B350"/>
      <c r="C350"/>
      <c r="D350" s="19"/>
      <c r="E350" s="27">
        <v>13.88</v>
      </c>
      <c r="F350" s="20">
        <v>4.3910205033439641E-2</v>
      </c>
      <c r="G350" s="20">
        <v>4.387218799308383E-2</v>
      </c>
      <c r="H350" s="19"/>
      <c r="I350" s="27">
        <f t="shared" si="5"/>
        <v>13.88</v>
      </c>
      <c r="J350" s="20">
        <v>-2.4373223853416115E-5</v>
      </c>
      <c r="K350" s="20">
        <v>-2.5331564419070142E-5</v>
      </c>
    </row>
    <row r="351" spans="2:11" ht="16.2" x14ac:dyDescent="0.3">
      <c r="B351"/>
      <c r="C351"/>
      <c r="D351" s="19"/>
      <c r="E351" s="27">
        <v>13.92</v>
      </c>
      <c r="F351" s="20">
        <v>4.3909230104485504E-2</v>
      </c>
      <c r="G351" s="20">
        <v>4.3871194684884346E-2</v>
      </c>
      <c r="H351" s="19"/>
      <c r="I351" s="27">
        <f t="shared" si="5"/>
        <v>13.92</v>
      </c>
      <c r="J351" s="20">
        <v>-2.3358038143267423E-5</v>
      </c>
      <c r="K351" s="20">
        <v>-2.4331610853635637E-5</v>
      </c>
    </row>
    <row r="352" spans="2:11" ht="16.2" x14ac:dyDescent="0.3">
      <c r="B352"/>
      <c r="C352"/>
      <c r="D352" s="19"/>
      <c r="E352" s="27">
        <v>13.96</v>
      </c>
      <c r="F352" s="20">
        <v>4.3908295782959773E-2</v>
      </c>
      <c r="G352" s="20">
        <v>4.3870241643490793E-2</v>
      </c>
      <c r="H352" s="19"/>
      <c r="I352" s="27">
        <f t="shared" si="5"/>
        <v>13.96</v>
      </c>
      <c r="J352" s="20">
        <v>-2.2329307376202367E-5</v>
      </c>
      <c r="K352" s="20">
        <v>-2.3318211639417545E-5</v>
      </c>
    </row>
    <row r="353" spans="2:11" ht="16.2" x14ac:dyDescent="0.3">
      <c r="B353"/>
      <c r="C353"/>
      <c r="D353" s="19"/>
      <c r="E353" s="27">
        <v>14</v>
      </c>
      <c r="F353" s="20">
        <v>4.3907402610664725E-2</v>
      </c>
      <c r="G353" s="20">
        <v>4.3869329408228248E-2</v>
      </c>
      <c r="H353" s="19"/>
      <c r="I353" s="27">
        <f t="shared" si="5"/>
        <v>14</v>
      </c>
      <c r="J353" s="20">
        <v>-2.1286957074297119E-5</v>
      </c>
      <c r="K353" s="20">
        <v>-2.2291291778793794E-5</v>
      </c>
    </row>
    <row r="354" spans="2:11" ht="16.2" x14ac:dyDescent="0.3">
      <c r="B354"/>
      <c r="C354"/>
      <c r="D354" s="19"/>
      <c r="E354" s="27">
        <v>14.04</v>
      </c>
      <c r="F354" s="20">
        <v>4.3906551132381753E-2</v>
      </c>
      <c r="G354" s="20">
        <v>4.386845852142772E-2</v>
      </c>
      <c r="H354" s="19"/>
      <c r="I354" s="27">
        <f t="shared" si="5"/>
        <v>14.04</v>
      </c>
      <c r="J354" s="20">
        <v>-2.0230910504660804E-5</v>
      </c>
      <c r="K354" s="20">
        <v>-2.125077596230037E-5</v>
      </c>
    </row>
    <row r="355" spans="2:11" ht="16.2" x14ac:dyDescent="0.3">
      <c r="B355"/>
      <c r="C355"/>
      <c r="D355" s="19"/>
      <c r="E355" s="27">
        <v>14.08</v>
      </c>
      <c r="F355" s="20">
        <v>4.3905741895961567E-2</v>
      </c>
      <c r="G355" s="20">
        <v>4.3867629528438805E-2</v>
      </c>
      <c r="H355" s="19"/>
      <c r="I355" s="27">
        <f t="shared" si="5"/>
        <v>14.08</v>
      </c>
      <c r="J355" s="20">
        <v>-1.9161094516606525E-5</v>
      </c>
      <c r="K355" s="20">
        <v>-2.0196588566890257E-5</v>
      </c>
    </row>
    <row r="356" spans="2:11" ht="16.2" x14ac:dyDescent="0.3">
      <c r="B356"/>
      <c r="C356"/>
      <c r="D356" s="19"/>
      <c r="E356" s="27">
        <v>14.12</v>
      </c>
      <c r="F356" s="20">
        <v>4.3904975452180903E-2</v>
      </c>
      <c r="G356" s="20">
        <v>4.3866842977642463E-2</v>
      </c>
      <c r="H356" s="19"/>
      <c r="I356" s="27">
        <f t="shared" si="5"/>
        <v>14.12</v>
      </c>
      <c r="J356" s="20">
        <v>-1.8077427733735607E-5</v>
      </c>
      <c r="K356" s="20">
        <v>-1.9128653654385996E-5</v>
      </c>
    </row>
    <row r="357" spans="2:11" ht="16.2" x14ac:dyDescent="0.3">
      <c r="B357"/>
      <c r="C357"/>
      <c r="D357" s="19"/>
      <c r="E357" s="27">
        <v>14.16</v>
      </c>
      <c r="F357" s="20">
        <v>4.3904252355071553E-2</v>
      </c>
      <c r="G357" s="20">
        <v>4.3866099420463343E-2</v>
      </c>
      <c r="H357" s="19"/>
      <c r="I357" s="27">
        <f t="shared" si="5"/>
        <v>14.16</v>
      </c>
      <c r="J357" s="20">
        <v>-1.6979838102573752E-5</v>
      </c>
      <c r="K357" s="20">
        <v>-1.8046894969379493E-5</v>
      </c>
    </row>
    <row r="358" spans="2:11" ht="16.2" x14ac:dyDescent="0.3">
      <c r="B358"/>
      <c r="C358"/>
      <c r="D358" s="19"/>
      <c r="E358" s="27">
        <v>14.2</v>
      </c>
      <c r="F358" s="20">
        <v>4.390357316154745E-2</v>
      </c>
      <c r="G358" s="20">
        <v>4.3865399411382761E-2</v>
      </c>
      <c r="H358" s="19"/>
      <c r="I358" s="27">
        <f t="shared" si="5"/>
        <v>14.2</v>
      </c>
      <c r="J358" s="20">
        <v>-1.5868246313471834E-5</v>
      </c>
      <c r="K358" s="20">
        <v>-1.6951235937800571E-5</v>
      </c>
    </row>
    <row r="359" spans="2:11" ht="16.2" x14ac:dyDescent="0.3">
      <c r="B359"/>
      <c r="C359"/>
      <c r="D359" s="19"/>
      <c r="E359" s="27">
        <v>14.24</v>
      </c>
      <c r="F359" s="20">
        <v>4.3902938431694911E-2</v>
      </c>
      <c r="G359" s="20">
        <v>4.386474350795138E-2</v>
      </c>
      <c r="H359" s="19"/>
      <c r="I359" s="27">
        <f t="shared" si="5"/>
        <v>14.24</v>
      </c>
      <c r="J359" s="20">
        <v>-1.4742575988810347E-5</v>
      </c>
      <c r="K359" s="20">
        <v>-1.5841599664724238E-5</v>
      </c>
    </row>
    <row r="360" spans="2:11" ht="16.2" x14ac:dyDescent="0.3">
      <c r="B360"/>
      <c r="C360"/>
      <c r="D360" s="19"/>
      <c r="E360" s="27">
        <v>14.28</v>
      </c>
      <c r="F360" s="20">
        <v>4.3902348728655359E-2</v>
      </c>
      <c r="G360" s="20">
        <v>4.38641322708022E-2</v>
      </c>
      <c r="H360" s="19"/>
      <c r="I360" s="27">
        <f t="shared" si="5"/>
        <v>14.28</v>
      </c>
      <c r="J360" s="20">
        <v>-1.3602747369646784E-5</v>
      </c>
      <c r="K360" s="20">
        <v>-1.4717908932899195E-5</v>
      </c>
    </row>
    <row r="361" spans="2:11" ht="16.2" x14ac:dyDescent="0.3">
      <c r="B361"/>
      <c r="C361"/>
      <c r="D361" s="19"/>
      <c r="E361" s="27">
        <v>14.32</v>
      </c>
      <c r="F361" s="20">
        <v>4.3901804618760573E-2</v>
      </c>
      <c r="G361" s="20">
        <v>4.3863566263663251E-2</v>
      </c>
      <c r="H361" s="19"/>
      <c r="I361" s="27">
        <f t="shared" si="5"/>
        <v>14.32</v>
      </c>
      <c r="J361" s="20">
        <v>-1.2448685396578008E-5</v>
      </c>
      <c r="K361" s="20">
        <v>-1.3580086200555246E-5</v>
      </c>
    </row>
    <row r="362" spans="2:11" ht="16.2" x14ac:dyDescent="0.3">
      <c r="B362"/>
      <c r="C362"/>
      <c r="D362" s="19"/>
      <c r="E362" s="27">
        <v>14.36</v>
      </c>
      <c r="F362" s="20">
        <v>4.390130667134471E-2</v>
      </c>
      <c r="G362" s="20">
        <v>4.386304605337088E-2</v>
      </c>
      <c r="H362" s="19"/>
      <c r="I362" s="27">
        <f t="shared" si="5"/>
        <v>14.36</v>
      </c>
      <c r="J362" s="20">
        <v>-1.1280309762141949E-5</v>
      </c>
      <c r="K362" s="20">
        <v>-1.2428053599767879E-5</v>
      </c>
    </row>
    <row r="363" spans="2:11" ht="16.2" x14ac:dyDescent="0.3">
      <c r="B363"/>
      <c r="C363"/>
      <c r="D363" s="19"/>
      <c r="E363" s="27">
        <v>14.4</v>
      </c>
      <c r="F363" s="20">
        <v>4.3900855458954224E-2</v>
      </c>
      <c r="G363" s="20">
        <v>4.3862572209882614E-2</v>
      </c>
      <c r="H363" s="19"/>
      <c r="I363" s="27">
        <f t="shared" si="5"/>
        <v>14.4</v>
      </c>
      <c r="J363" s="20">
        <v>-1.0097542015377603E-5</v>
      </c>
      <c r="K363" s="20">
        <v>-1.1261732934440596E-5</v>
      </c>
    </row>
    <row r="364" spans="2:11" ht="16.2" x14ac:dyDescent="0.3">
      <c r="B364"/>
      <c r="C364"/>
      <c r="D364" s="19"/>
      <c r="E364" s="27">
        <v>14.44</v>
      </c>
      <c r="F364" s="20">
        <v>4.3900451557273609E-2</v>
      </c>
      <c r="G364" s="20">
        <v>4.3862145306290561E-2</v>
      </c>
      <c r="H364" s="19"/>
      <c r="I364" s="27">
        <f t="shared" si="5"/>
        <v>14.44</v>
      </c>
      <c r="J364" s="20">
        <v>-8.900304140392612E-6</v>
      </c>
      <c r="K364" s="20">
        <v>-1.0081045678420086E-5</v>
      </c>
    </row>
    <row r="365" spans="2:11" ht="16.2" x14ac:dyDescent="0.3">
      <c r="B365"/>
      <c r="C365"/>
      <c r="D365" s="19"/>
      <c r="E365" s="27">
        <v>14.48</v>
      </c>
      <c r="F365" s="20">
        <v>4.3900095545107994E-2</v>
      </c>
      <c r="G365" s="20">
        <v>4.3861765918834138E-2</v>
      </c>
      <c r="H365" s="19"/>
      <c r="I365" s="27">
        <f t="shared" si="5"/>
        <v>14.48</v>
      </c>
      <c r="J365" s="20">
        <v>-7.6885165867582317E-6</v>
      </c>
      <c r="K365" s="20">
        <v>-8.8859129734719916E-6</v>
      </c>
    </row>
    <row r="366" spans="2:11" ht="16.2" x14ac:dyDescent="0.3">
      <c r="B366"/>
      <c r="C366"/>
      <c r="D366" s="19"/>
      <c r="E366" s="27">
        <v>14.52</v>
      </c>
      <c r="F366" s="20">
        <v>4.3899788004444523E-2</v>
      </c>
      <c r="G366" s="20">
        <v>4.3861434626914393E-2</v>
      </c>
      <c r="H366" s="19"/>
      <c r="I366" s="27">
        <f t="shared" si="5"/>
        <v>14.52</v>
      </c>
      <c r="J366" s="20">
        <v>-6.4620970265799604E-6</v>
      </c>
      <c r="K366" s="20">
        <v>-7.6762556274756884E-6</v>
      </c>
    </row>
    <row r="367" spans="2:11" ht="16.2" x14ac:dyDescent="0.3">
      <c r="B367"/>
      <c r="C367"/>
      <c r="D367" s="19"/>
      <c r="E367" s="27">
        <v>14.56</v>
      </c>
      <c r="F367" s="20">
        <v>4.389952952056346E-2</v>
      </c>
      <c r="G367" s="20">
        <v>4.3861152013106079E-2</v>
      </c>
      <c r="H367" s="19"/>
      <c r="I367" s="27">
        <f t="shared" si="5"/>
        <v>14.56</v>
      </c>
      <c r="J367" s="20">
        <v>-5.2209705283037811E-6</v>
      </c>
      <c r="K367" s="20">
        <v>-6.4519941121980728E-6</v>
      </c>
    </row>
    <row r="368" spans="2:11" ht="16.2" x14ac:dyDescent="0.3">
      <c r="B368"/>
      <c r="C368"/>
      <c r="D368" s="19"/>
      <c r="E368" s="27">
        <v>14.6</v>
      </c>
      <c r="F368" s="20">
        <v>4.3899320681742328E-2</v>
      </c>
      <c r="G368" s="20">
        <v>4.386091866317237E-2</v>
      </c>
      <c r="H368" s="19"/>
      <c r="I368" s="27">
        <f t="shared" si="5"/>
        <v>14.6</v>
      </c>
      <c r="J368" s="20">
        <v>-3.9650519872633239E-6</v>
      </c>
      <c r="K368" s="20">
        <v>-5.2130485615295042E-6</v>
      </c>
    </row>
    <row r="369" spans="2:11" ht="16.2" x14ac:dyDescent="0.3">
      <c r="B369"/>
      <c r="C369"/>
      <c r="D369" s="19"/>
      <c r="E369" s="27">
        <v>14.64</v>
      </c>
      <c r="F369" s="20">
        <v>4.3899162079662837E-2</v>
      </c>
      <c r="G369" s="20">
        <v>4.3860735166077518E-2</v>
      </c>
      <c r="H369" s="19"/>
      <c r="I369" s="27">
        <f t="shared" si="5"/>
        <v>14.64</v>
      </c>
      <c r="J369" s="20">
        <v>-2.6942628022705306E-6</v>
      </c>
      <c r="K369" s="20">
        <v>-3.959338769242729E-6</v>
      </c>
    </row>
    <row r="370" spans="2:11" ht="16.2" x14ac:dyDescent="0.3">
      <c r="B370"/>
      <c r="C370"/>
      <c r="D370" s="19"/>
      <c r="E370" s="27">
        <v>14.68</v>
      </c>
      <c r="F370" s="20">
        <v>4.3899054309150747E-2</v>
      </c>
      <c r="G370" s="20">
        <v>4.3860602114001127E-2</v>
      </c>
      <c r="H370" s="19"/>
      <c r="I370" s="27">
        <f t="shared" si="5"/>
        <v>14.68</v>
      </c>
      <c r="J370" s="20">
        <v>-1.4085223810217373E-6</v>
      </c>
      <c r="K370" s="20">
        <v>-2.6907841870222935E-6</v>
      </c>
    </row>
    <row r="371" spans="2:11" ht="16.2" x14ac:dyDescent="0.3">
      <c r="B371"/>
      <c r="C371"/>
      <c r="D371" s="19"/>
      <c r="E371" s="27">
        <v>14.72</v>
      </c>
      <c r="F371" s="20">
        <v>4.3898997968255506E-2</v>
      </c>
      <c r="G371" s="20">
        <v>4.386052010235144E-2</v>
      </c>
      <c r="H371" s="19"/>
      <c r="I371" s="27">
        <f t="shared" si="5"/>
        <v>14.72</v>
      </c>
      <c r="J371" s="20">
        <v>-1.0774822197662237E-7</v>
      </c>
      <c r="K371" s="20">
        <v>-1.4073039223534043E-6</v>
      </c>
    </row>
    <row r="372" spans="2:11" ht="16.2" x14ac:dyDescent="0.3">
      <c r="B372"/>
      <c r="C372"/>
      <c r="D372" s="19"/>
      <c r="E372" s="27">
        <v>14.76</v>
      </c>
      <c r="F372" s="20">
        <v>4.3898993658326627E-2</v>
      </c>
      <c r="G372" s="20">
        <v>4.3860489729779427E-2</v>
      </c>
      <c r="H372" s="19"/>
      <c r="I372" s="27">
        <f t="shared" si="5"/>
        <v>14.76</v>
      </c>
      <c r="J372" s="20">
        <v>1.2081408568009877E-6</v>
      </c>
      <c r="K372" s="20">
        <v>-1.0881673641977445E-7</v>
      </c>
    </row>
    <row r="373" spans="2:11" ht="16.2" x14ac:dyDescent="0.3">
      <c r="B373"/>
      <c r="C373"/>
      <c r="D373" s="19"/>
      <c r="E373" s="27">
        <v>14.8</v>
      </c>
      <c r="F373" s="20">
        <v>4.3899041983960899E-2</v>
      </c>
      <c r="G373" s="20">
        <v>4.3860511598192431E-2</v>
      </c>
      <c r="H373" s="19"/>
      <c r="I373" s="27">
        <f t="shared" si="5"/>
        <v>14.8</v>
      </c>
      <c r="J373" s="20">
        <v>2.5392269467627848E-6</v>
      </c>
      <c r="K373" s="20">
        <v>1.2047589580435556E-6</v>
      </c>
    </row>
    <row r="374" spans="2:11" ht="16.2" x14ac:dyDescent="0.3">
      <c r="B374"/>
      <c r="C374"/>
      <c r="D374" s="19"/>
      <c r="E374" s="27">
        <v>14.84</v>
      </c>
      <c r="F374" s="20">
        <v>4.3899143553038769E-2</v>
      </c>
      <c r="G374" s="20">
        <v>4.3860586312768658E-2</v>
      </c>
      <c r="H374" s="19"/>
      <c r="I374" s="27">
        <f t="shared" si="5"/>
        <v>14.84</v>
      </c>
      <c r="J374" s="20">
        <v>3.8855926016642672E-6</v>
      </c>
      <c r="K374" s="20">
        <v>2.533505098928587E-6</v>
      </c>
    </row>
    <row r="375" spans="2:11" ht="16.2" x14ac:dyDescent="0.3">
      <c r="B375"/>
      <c r="C375"/>
      <c r="D375" s="19"/>
      <c r="E375" s="27">
        <v>14.88</v>
      </c>
      <c r="F375" s="20">
        <v>4.3899298976742836E-2</v>
      </c>
      <c r="G375" s="20">
        <v>4.386071448197025E-2</v>
      </c>
      <c r="H375" s="19"/>
      <c r="I375" s="27">
        <f t="shared" si="5"/>
        <v>14.88</v>
      </c>
      <c r="J375" s="20">
        <v>5.2473216327619809E-6</v>
      </c>
      <c r="K375" s="20">
        <v>3.8775039768849832E-6</v>
      </c>
    </row>
    <row r="376" spans="2:11" ht="16.2" x14ac:dyDescent="0.3">
      <c r="B376"/>
      <c r="C376"/>
      <c r="D376" s="19"/>
      <c r="E376" s="27">
        <v>14.92</v>
      </c>
      <c r="F376" s="20">
        <v>4.3899508869608146E-2</v>
      </c>
      <c r="G376" s="20">
        <v>4.3860896717558523E-2</v>
      </c>
      <c r="H376" s="19"/>
      <c r="I376" s="27">
        <f t="shared" si="5"/>
        <v>14.92</v>
      </c>
      <c r="J376" s="20">
        <v>6.6244945064186656E-6</v>
      </c>
      <c r="K376" s="20">
        <v>5.2368382376040261E-6</v>
      </c>
    </row>
    <row r="377" spans="2:11" ht="16.2" x14ac:dyDescent="0.3">
      <c r="B377"/>
      <c r="C377"/>
      <c r="D377" s="19"/>
      <c r="E377" s="27">
        <v>14.96</v>
      </c>
      <c r="F377" s="20">
        <v>4.3899773849388403E-2</v>
      </c>
      <c r="G377" s="20">
        <v>4.386113363460753E-2</v>
      </c>
      <c r="H377" s="19"/>
      <c r="I377" s="27">
        <f t="shared" si="5"/>
        <v>14.96</v>
      </c>
      <c r="J377" s="20">
        <v>8.0171979950638406E-6</v>
      </c>
      <c r="K377" s="20">
        <v>6.6115908839974724E-6</v>
      </c>
    </row>
    <row r="378" spans="2:11" ht="16.2" x14ac:dyDescent="0.3">
      <c r="B378"/>
      <c r="C378"/>
      <c r="D378" s="19"/>
      <c r="E378" s="27">
        <v>15</v>
      </c>
      <c r="F378" s="20">
        <v>4.3900094537308205E-2</v>
      </c>
      <c r="G378" s="20">
        <v>4.3861425851519031E-2</v>
      </c>
      <c r="H378" s="19"/>
      <c r="I378" s="27">
        <f t="shared" si="5"/>
        <v>15</v>
      </c>
      <c r="J378" s="20">
        <v>9.425512493416166E-6</v>
      </c>
      <c r="K378" s="20">
        <v>8.0018452785955212E-6</v>
      </c>
    </row>
    <row r="379" spans="2:11" ht="16.2" x14ac:dyDescent="0.3">
      <c r="B379"/>
      <c r="C379"/>
      <c r="D379" s="19"/>
      <c r="E379" s="27">
        <v>15.04</v>
      </c>
      <c r="F379" s="20">
        <v>4.3900471557807942E-2</v>
      </c>
      <c r="G379" s="20">
        <v>4.386177399003597E-2</v>
      </c>
      <c r="H379" s="19"/>
      <c r="I379" s="27">
        <f t="shared" si="5"/>
        <v>15.04</v>
      </c>
      <c r="J379" s="20">
        <v>1.0849526871879733E-5</v>
      </c>
      <c r="K379" s="20">
        <v>9.4076851456055281E-6</v>
      </c>
    </row>
    <row r="380" spans="2:11" ht="16.2" x14ac:dyDescent="0.3">
      <c r="B380"/>
      <c r="C380"/>
      <c r="D380" s="19"/>
      <c r="E380" s="27">
        <v>15.08</v>
      </c>
      <c r="F380" s="20">
        <v>4.3900905538882817E-2</v>
      </c>
      <c r="G380" s="20">
        <v>4.3862178675257907E-2</v>
      </c>
      <c r="H380" s="19"/>
      <c r="I380" s="27">
        <f t="shared" si="5"/>
        <v>15.08</v>
      </c>
      <c r="J380" s="20">
        <v>1.2289320211467114E-5</v>
      </c>
      <c r="K380" s="20">
        <v>1.0829194573528106E-5</v>
      </c>
    </row>
    <row r="381" spans="2:11" ht="16.2" x14ac:dyDescent="0.3">
      <c r="B381"/>
      <c r="C381"/>
      <c r="D381" s="19"/>
      <c r="E381" s="27">
        <v>15.12</v>
      </c>
      <c r="F381" s="20">
        <v>4.3901397111691276E-2</v>
      </c>
      <c r="G381" s="20">
        <v>4.3862640535655327E-2</v>
      </c>
      <c r="H381" s="19"/>
      <c r="I381" s="27">
        <f t="shared" si="5"/>
        <v>15.12</v>
      </c>
      <c r="J381" s="20">
        <v>1.3744982016103413E-5</v>
      </c>
      <c r="K381" s="20">
        <v>1.2266458017175604E-5</v>
      </c>
    </row>
    <row r="382" spans="2:11" ht="16.2" x14ac:dyDescent="0.3">
      <c r="B382"/>
      <c r="C382"/>
      <c r="D382" s="19"/>
      <c r="E382" s="27">
        <v>15.16</v>
      </c>
      <c r="F382" s="20">
        <v>4.390194691097192E-2</v>
      </c>
      <c r="G382" s="20">
        <v>4.3863160203083694E-2</v>
      </c>
      <c r="H382" s="19"/>
      <c r="I382" s="27">
        <f t="shared" si="5"/>
        <v>15.16</v>
      </c>
      <c r="J382" s="20">
        <v>1.5216596176148567E-5</v>
      </c>
      <c r="K382" s="20">
        <v>1.3719560300371729E-5</v>
      </c>
    </row>
    <row r="383" spans="2:11" ht="16.2" x14ac:dyDescent="0.3">
      <c r="B383"/>
      <c r="C383"/>
      <c r="D383" s="19"/>
      <c r="E383" s="27">
        <v>15.2</v>
      </c>
      <c r="F383" s="20">
        <v>4.3902555574818966E-2</v>
      </c>
      <c r="G383" s="20">
        <v>4.3863738312799563E-2</v>
      </c>
      <c r="H383" s="19"/>
      <c r="I383" s="27">
        <f t="shared" si="5"/>
        <v>15.2</v>
      </c>
      <c r="J383" s="20">
        <v>1.6704246488113972E-5</v>
      </c>
      <c r="K383" s="20">
        <v>1.5188586618095257E-5</v>
      </c>
    </row>
    <row r="384" spans="2:11" ht="16.2" x14ac:dyDescent="0.3">
      <c r="B384"/>
      <c r="C384"/>
      <c r="D384" s="19"/>
      <c r="E384" s="27">
        <v>15.24</v>
      </c>
      <c r="F384" s="20">
        <v>4.3903223744678491E-2</v>
      </c>
      <c r="G384" s="20">
        <v>4.386437550347428E-2</v>
      </c>
      <c r="H384" s="19"/>
      <c r="I384" s="27">
        <f t="shared" si="5"/>
        <v>15.24</v>
      </c>
      <c r="J384" s="20">
        <v>1.8208022813277769E-5</v>
      </c>
      <c r="K384" s="20">
        <v>1.6673622539087115E-5</v>
      </c>
    </row>
    <row r="385" spans="2:11" ht="16.2" x14ac:dyDescent="0.3">
      <c r="B385"/>
      <c r="C385"/>
      <c r="D385" s="19"/>
      <c r="E385" s="27">
        <v>15.28</v>
      </c>
      <c r="F385" s="20">
        <v>4.3903952065591022E-2</v>
      </c>
      <c r="G385" s="20">
        <v>4.3865072417209848E-2</v>
      </c>
      <c r="H385" s="19"/>
      <c r="I385" s="27">
        <f t="shared" si="5"/>
        <v>15.28</v>
      </c>
      <c r="J385" s="20">
        <v>1.9728008111147277E-5</v>
      </c>
      <c r="K385" s="20">
        <v>1.8174754008245339E-5</v>
      </c>
    </row>
    <row r="386" spans="2:11" ht="16.2" x14ac:dyDescent="0.3">
      <c r="B386"/>
      <c r="C386"/>
      <c r="D386" s="19"/>
      <c r="E386" s="27">
        <v>15.32</v>
      </c>
      <c r="F386" s="20">
        <v>4.3904741185915468E-2</v>
      </c>
      <c r="G386" s="20">
        <v>4.3865829699553167E-2</v>
      </c>
      <c r="H386" s="19"/>
      <c r="I386" s="27">
        <f t="shared" si="5"/>
        <v>15.32</v>
      </c>
      <c r="J386" s="20">
        <v>2.1264290843772682E-5</v>
      </c>
      <c r="K386" s="20">
        <v>1.9692067349094929E-5</v>
      </c>
    </row>
    <row r="387" spans="2:11" ht="16.2" x14ac:dyDescent="0.3">
      <c r="B387"/>
      <c r="C387"/>
      <c r="D387" s="19"/>
      <c r="E387" s="27">
        <v>15.36</v>
      </c>
      <c r="F387" s="20">
        <v>4.3905591757549219E-2</v>
      </c>
      <c r="G387" s="20">
        <v>4.3866647999511919E-2</v>
      </c>
      <c r="H387" s="19"/>
      <c r="I387" s="27">
        <f t="shared" si="5"/>
        <v>15.36</v>
      </c>
      <c r="J387" s="20">
        <v>2.2816959643727486E-5</v>
      </c>
      <c r="K387" s="20">
        <v>2.122564926634047E-5</v>
      </c>
    </row>
    <row r="388" spans="2:11" ht="16.2" x14ac:dyDescent="0.3">
      <c r="B388"/>
      <c r="C388"/>
      <c r="D388" s="19"/>
      <c r="E388" s="27">
        <v>15.4</v>
      </c>
      <c r="F388" s="20">
        <v>4.3906504435934968E-2</v>
      </c>
      <c r="G388" s="20">
        <v>4.3867527969569817E-2</v>
      </c>
      <c r="H388" s="19"/>
      <c r="I388" s="27">
        <f t="shared" ref="I388:I451" si="6">IF(E388&lt;&gt;"",E388,"")</f>
        <v>15.4</v>
      </c>
      <c r="J388" s="20">
        <v>2.4386098488628216E-5</v>
      </c>
      <c r="K388" s="20">
        <v>2.2775586848438813E-5</v>
      </c>
    </row>
    <row r="389" spans="2:11" ht="16.2" x14ac:dyDescent="0.3">
      <c r="B389"/>
      <c r="C389"/>
      <c r="D389" s="19"/>
      <c r="E389" s="27">
        <v>15.44</v>
      </c>
      <c r="F389" s="20">
        <v>4.3907479879874513E-2</v>
      </c>
      <c r="G389" s="20">
        <v>4.3868470265701488E-2</v>
      </c>
      <c r="H389" s="19"/>
      <c r="I389" s="27">
        <f t="shared" si="6"/>
        <v>15.44</v>
      </c>
      <c r="J389" s="20">
        <v>2.5971798500029619E-5</v>
      </c>
      <c r="K389" s="20">
        <v>2.4341967570101463E-5</v>
      </c>
    </row>
    <row r="390" spans="2:11" ht="16.2" x14ac:dyDescent="0.3">
      <c r="B390"/>
      <c r="C390"/>
      <c r="D390" s="19"/>
      <c r="E390" s="27">
        <v>15.48</v>
      </c>
      <c r="F390" s="20">
        <v>4.3908518751814514E-2</v>
      </c>
      <c r="G390" s="20">
        <v>4.3869475547388584E-2</v>
      </c>
      <c r="H390" s="19"/>
      <c r="I390" s="27">
        <f t="shared" si="6"/>
        <v>15.48</v>
      </c>
      <c r="J390" s="20">
        <v>2.7574148573836221E-5</v>
      </c>
      <c r="K390" s="20">
        <v>2.5924879295003963E-5</v>
      </c>
    </row>
    <row r="391" spans="2:11" ht="16.2" x14ac:dyDescent="0.3">
      <c r="B391"/>
      <c r="C391"/>
      <c r="D391" s="19"/>
      <c r="E391" s="27">
        <v>15.52</v>
      </c>
      <c r="F391" s="20">
        <v>4.3909621717757467E-2</v>
      </c>
      <c r="G391" s="20">
        <v>4.3870544477635103E-2</v>
      </c>
      <c r="H391" s="19"/>
      <c r="I391" s="27">
        <f t="shared" si="6"/>
        <v>15.52</v>
      </c>
      <c r="J391" s="20">
        <v>2.9193233727631274E-5</v>
      </c>
      <c r="K391" s="20">
        <v>2.7524410278358876E-5</v>
      </c>
    </row>
    <row r="392" spans="2:11" ht="16.2" x14ac:dyDescent="0.3">
      <c r="B392"/>
      <c r="C392"/>
      <c r="D392" s="19"/>
      <c r="E392" s="27">
        <v>15.56</v>
      </c>
      <c r="F392" s="20">
        <v>4.3910789447106573E-2</v>
      </c>
      <c r="G392" s="20">
        <v>4.3871677722982776E-2</v>
      </c>
      <c r="H392" s="19"/>
      <c r="I392" s="27">
        <f t="shared" si="6"/>
        <v>15.56</v>
      </c>
      <c r="J392" s="20">
        <v>3.082914767499334E-5</v>
      </c>
      <c r="K392" s="20">
        <v>2.9140649169567272E-5</v>
      </c>
    </row>
    <row r="393" spans="2:11" ht="16.2" x14ac:dyDescent="0.3">
      <c r="B393"/>
      <c r="C393"/>
      <c r="D393" s="19"/>
      <c r="E393" s="27">
        <v>15.6</v>
      </c>
      <c r="F393" s="20">
        <v>4.3912022613013572E-2</v>
      </c>
      <c r="G393" s="20">
        <v>4.387287595352779E-2</v>
      </c>
      <c r="H393" s="19"/>
      <c r="I393" s="27">
        <f t="shared" si="6"/>
        <v>15.6</v>
      </c>
      <c r="J393" s="20">
        <v>3.2481976689792413E-5</v>
      </c>
      <c r="K393" s="20">
        <v>3.0773685015102969E-5</v>
      </c>
    </row>
    <row r="394" spans="2:11" ht="16.2" x14ac:dyDescent="0.3">
      <c r="B394"/>
      <c r="C394"/>
      <c r="D394" s="19"/>
      <c r="E394" s="27">
        <v>15.64</v>
      </c>
      <c r="F394" s="20">
        <v>4.3913321892081164E-2</v>
      </c>
      <c r="G394" s="20">
        <v>4.3874139842935797E-2</v>
      </c>
      <c r="H394" s="19"/>
      <c r="I394" s="27">
        <f t="shared" si="6"/>
        <v>15.64</v>
      </c>
      <c r="J394" s="20">
        <v>3.4151812178077889E-5</v>
      </c>
      <c r="K394" s="20">
        <v>3.2423607260933153E-5</v>
      </c>
    </row>
    <row r="395" spans="2:11" ht="16.2" x14ac:dyDescent="0.3">
      <c r="B395"/>
      <c r="C395"/>
      <c r="D395" s="19"/>
      <c r="E395" s="27">
        <v>15.68</v>
      </c>
      <c r="F395" s="20">
        <v>4.3914687964568287E-2</v>
      </c>
      <c r="G395" s="20">
        <v>4.3875470068458565E-2</v>
      </c>
      <c r="H395" s="19"/>
      <c r="I395" s="27">
        <f t="shared" si="6"/>
        <v>15.68</v>
      </c>
      <c r="J395" s="20">
        <v>3.5838745501837188E-5</v>
      </c>
      <c r="K395" s="20">
        <v>3.4090505755637647E-5</v>
      </c>
    </row>
    <row r="396" spans="2:11" ht="16.2" x14ac:dyDescent="0.3">
      <c r="B396"/>
      <c r="C396"/>
      <c r="D396" s="19"/>
      <c r="E396" s="27">
        <v>15.72</v>
      </c>
      <c r="F396" s="20">
        <v>4.3916121514388361E-2</v>
      </c>
      <c r="G396" s="20">
        <v>4.3876867310949606E-2</v>
      </c>
      <c r="H396" s="19"/>
      <c r="I396" s="27">
        <f t="shared" si="6"/>
        <v>15.72</v>
      </c>
      <c r="J396" s="20">
        <v>3.7542864943750087E-5</v>
      </c>
      <c r="K396" s="20">
        <v>3.5774470752950903E-5</v>
      </c>
    </row>
    <row r="397" spans="2:11" ht="16.2" x14ac:dyDescent="0.3">
      <c r="B397"/>
      <c r="C397"/>
      <c r="D397" s="19"/>
      <c r="E397" s="27">
        <v>15.76</v>
      </c>
      <c r="F397" s="20">
        <v>4.3917623228986111E-2</v>
      </c>
      <c r="G397" s="20">
        <v>4.387833225488099E-2</v>
      </c>
      <c r="H397" s="19"/>
      <c r="I397" s="27">
        <f t="shared" si="6"/>
        <v>15.76</v>
      </c>
      <c r="J397" s="20">
        <v>3.9264265011898503E-5</v>
      </c>
      <c r="K397" s="20">
        <v>3.7475592914720437E-5</v>
      </c>
    </row>
    <row r="398" spans="2:11" ht="16.2" x14ac:dyDescent="0.3">
      <c r="B398"/>
      <c r="C398"/>
      <c r="D398" s="19"/>
      <c r="E398" s="27">
        <v>15.8</v>
      </c>
      <c r="F398" s="20">
        <v>4.3919193799586587E-2</v>
      </c>
      <c r="G398" s="20">
        <v>4.387986558835881E-2</v>
      </c>
      <c r="H398" s="19"/>
      <c r="I398" s="27">
        <f t="shared" si="6"/>
        <v>15.8</v>
      </c>
      <c r="J398" s="20">
        <v>4.1003032473160839E-5</v>
      </c>
      <c r="K398" s="20">
        <v>3.9193963313714078E-5</v>
      </c>
    </row>
    <row r="399" spans="2:11" ht="16.2" x14ac:dyDescent="0.3">
      <c r="B399"/>
      <c r="C399"/>
      <c r="D399" s="19"/>
      <c r="E399" s="27">
        <v>15.84</v>
      </c>
      <c r="F399" s="20">
        <v>4.3920833920885513E-2</v>
      </c>
      <c r="G399" s="20">
        <v>4.3881468003142063E-2</v>
      </c>
      <c r="H399" s="19"/>
      <c r="I399" s="27">
        <f t="shared" si="6"/>
        <v>15.84</v>
      </c>
      <c r="J399" s="20">
        <v>4.2759266653466521E-5</v>
      </c>
      <c r="K399" s="20">
        <v>4.0929673436696843E-5</v>
      </c>
    </row>
    <row r="400" spans="2:11" ht="16.2" x14ac:dyDescent="0.3">
      <c r="B400"/>
      <c r="C400"/>
      <c r="D400" s="19"/>
      <c r="E400" s="27">
        <v>15.88</v>
      </c>
      <c r="F400" s="20">
        <v>4.3922544291551652E-2</v>
      </c>
      <c r="G400" s="20">
        <v>4.388314019465557E-2</v>
      </c>
      <c r="H400" s="19"/>
      <c r="I400" s="27">
        <f t="shared" si="6"/>
        <v>15.88</v>
      </c>
      <c r="J400" s="20">
        <v>4.4533053396300648E-5</v>
      </c>
      <c r="K400" s="20">
        <v>4.2682815187090298E-5</v>
      </c>
    </row>
    <row r="401" spans="2:11" ht="16.2" x14ac:dyDescent="0.3">
      <c r="B401"/>
      <c r="C401"/>
      <c r="D401" s="19"/>
      <c r="E401" s="27">
        <v>15.92</v>
      </c>
      <c r="F401" s="20">
        <v>4.3924325613687504E-2</v>
      </c>
      <c r="G401" s="20">
        <v>4.388488286200929E-2</v>
      </c>
      <c r="H401" s="19"/>
      <c r="I401" s="27">
        <f t="shared" si="6"/>
        <v>15.92</v>
      </c>
      <c r="J401" s="20">
        <v>4.6324489024612836E-5</v>
      </c>
      <c r="K401" s="20">
        <v>4.4453480888126082E-5</v>
      </c>
    </row>
    <row r="402" spans="2:11" ht="16.2" x14ac:dyDescent="0.3">
      <c r="B402"/>
      <c r="C402"/>
      <c r="D402" s="19"/>
      <c r="E402" s="27">
        <v>15.96</v>
      </c>
      <c r="F402" s="20">
        <v>4.3926178593248488E-2</v>
      </c>
      <c r="G402" s="20">
        <v>4.3886696708015614E-2</v>
      </c>
      <c r="H402" s="19"/>
      <c r="I402" s="27">
        <f t="shared" si="6"/>
        <v>15.96</v>
      </c>
      <c r="J402" s="20">
        <v>4.8133666190677826E-5</v>
      </c>
      <c r="K402" s="20">
        <v>4.6241763285933638E-5</v>
      </c>
    </row>
    <row r="403" spans="2:11" ht="16.2" x14ac:dyDescent="0.3">
      <c r="B403"/>
      <c r="C403"/>
      <c r="D403" s="19"/>
      <c r="E403" s="27">
        <v>16</v>
      </c>
      <c r="F403" s="20">
        <v>4.3928103939896115E-2</v>
      </c>
      <c r="G403" s="20">
        <v>4.3888582439203724E-2</v>
      </c>
      <c r="H403" s="19"/>
      <c r="I403" s="27">
        <f t="shared" si="6"/>
        <v>16</v>
      </c>
      <c r="J403" s="20">
        <v>4.9960677385961494E-5</v>
      </c>
      <c r="K403" s="20">
        <v>4.8047755552333279E-5</v>
      </c>
    </row>
    <row r="404" spans="2:11" ht="16.2" x14ac:dyDescent="0.3">
      <c r="B404"/>
      <c r="C404"/>
      <c r="D404" s="19"/>
      <c r="E404" s="27">
        <v>16.04</v>
      </c>
      <c r="F404" s="20">
        <v>4.3930102366991554E-2</v>
      </c>
      <c r="G404" s="20">
        <v>4.3890540765839051E-2</v>
      </c>
      <c r="H404" s="19"/>
      <c r="I404" s="27">
        <f t="shared" si="6"/>
        <v>16.04</v>
      </c>
      <c r="J404" s="20">
        <v>5.1805620486164439E-5</v>
      </c>
      <c r="K404" s="20">
        <v>4.9871551288143978E-5</v>
      </c>
    </row>
    <row r="405" spans="2:11" ht="16.2" x14ac:dyDescent="0.3">
      <c r="B405"/>
      <c r="C405"/>
      <c r="D405" s="19"/>
      <c r="E405" s="27">
        <v>16.079999999999998</v>
      </c>
      <c r="F405" s="20">
        <v>4.3932174591811E-2</v>
      </c>
      <c r="G405" s="20">
        <v>4.3892572401939695E-2</v>
      </c>
      <c r="H405" s="19"/>
      <c r="I405" s="27">
        <f t="shared" si="6"/>
        <v>16.079999999999998</v>
      </c>
      <c r="J405" s="20">
        <v>5.3668584599868285E-5</v>
      </c>
      <c r="K405" s="20">
        <v>5.1713244526199383E-5</v>
      </c>
    </row>
    <row r="406" spans="2:11" ht="16.2" x14ac:dyDescent="0.3">
      <c r="B406"/>
      <c r="C406"/>
      <c r="D406" s="19"/>
      <c r="E406" s="27">
        <v>16.12</v>
      </c>
      <c r="F406" s="20">
        <v>4.3934321335194995E-2</v>
      </c>
      <c r="G406" s="20">
        <v>4.3894678065293985E-2</v>
      </c>
      <c r="H406" s="19"/>
      <c r="I406" s="27">
        <f t="shared" si="6"/>
        <v>16.12</v>
      </c>
      <c r="J406" s="20">
        <v>5.5549668596596713E-5</v>
      </c>
      <c r="K406" s="20">
        <v>5.3572929734643719E-5</v>
      </c>
    </row>
    <row r="407" spans="2:11" ht="16.2" x14ac:dyDescent="0.3">
      <c r="B407"/>
      <c r="C407"/>
      <c r="D407" s="19"/>
      <c r="E407" s="27">
        <v>16.16</v>
      </c>
      <c r="F407" s="20">
        <v>4.3936543321938859E-2</v>
      </c>
      <c r="G407" s="20">
        <v>4.3896858477476867E-2</v>
      </c>
      <c r="H407" s="19"/>
      <c r="I407" s="27">
        <f t="shared" si="6"/>
        <v>16.16</v>
      </c>
      <c r="J407" s="20">
        <v>5.7448969921838899E-5</v>
      </c>
      <c r="K407" s="20">
        <v>5.5450701819784145E-5</v>
      </c>
    </row>
    <row r="408" spans="2:11" ht="16.2" x14ac:dyDescent="0.3">
      <c r="B408"/>
      <c r="C408"/>
      <c r="D408" s="19"/>
      <c r="E408" s="27">
        <v>16.2</v>
      </c>
      <c r="F408" s="20">
        <v>4.3938841280735733E-2</v>
      </c>
      <c r="G408" s="20">
        <v>4.3899114363868875E-2</v>
      </c>
      <c r="H408" s="19"/>
      <c r="I408" s="27">
        <f t="shared" si="6"/>
        <v>16.2</v>
      </c>
      <c r="J408" s="20">
        <v>5.9366579462961921E-5</v>
      </c>
      <c r="K408" s="20">
        <v>5.7346656129707752E-5</v>
      </c>
    </row>
    <row r="409" spans="2:11" ht="16.2" x14ac:dyDescent="0.3">
      <c r="B409"/>
      <c r="C409"/>
      <c r="D409" s="19"/>
      <c r="E409" s="27">
        <v>16.239999999999998</v>
      </c>
      <c r="F409" s="20">
        <v>4.3941215943914251E-2</v>
      </c>
      <c r="G409" s="20">
        <v>4.3901446453673866E-2</v>
      </c>
      <c r="H409" s="19"/>
      <c r="I409" s="27">
        <f t="shared" si="6"/>
        <v>16.239999999999998</v>
      </c>
      <c r="J409" s="20">
        <v>6.1302596379188279E-5</v>
      </c>
      <c r="K409" s="20">
        <v>5.926088845738489E-5</v>
      </c>
    </row>
    <row r="410" spans="2:11" ht="16.2" x14ac:dyDescent="0.3">
      <c r="B410"/>
      <c r="C410"/>
      <c r="D410" s="19"/>
      <c r="E410" s="27">
        <v>16.28</v>
      </c>
      <c r="F410" s="20">
        <v>4.3943668047769419E-2</v>
      </c>
      <c r="G410" s="20">
        <v>4.3903855479935541E-2</v>
      </c>
      <c r="H410" s="19"/>
      <c r="I410" s="27">
        <f t="shared" si="6"/>
        <v>16.28</v>
      </c>
      <c r="J410" s="20">
        <v>6.3257117436862909E-5</v>
      </c>
      <c r="K410" s="20">
        <v>6.1193495043998153E-5</v>
      </c>
    </row>
    <row r="411" spans="2:11" ht="16.2" x14ac:dyDescent="0.3">
      <c r="B411"/>
      <c r="C411"/>
      <c r="D411" s="19"/>
      <c r="E411" s="27">
        <v>16.32</v>
      </c>
      <c r="F411" s="20">
        <v>4.3946198332466893E-2</v>
      </c>
      <c r="G411" s="20">
        <v>4.390634217955678E-2</v>
      </c>
      <c r="H411" s="19"/>
      <c r="I411" s="27">
        <f t="shared" si="6"/>
        <v>16.32</v>
      </c>
      <c r="J411" s="20">
        <v>6.5230241901373387E-5</v>
      </c>
      <c r="K411" s="20">
        <v>6.3144572582271924E-5</v>
      </c>
    </row>
    <row r="412" spans="2:11" ht="16.2" x14ac:dyDescent="0.3">
      <c r="B412"/>
      <c r="C412"/>
      <c r="D412" s="19"/>
      <c r="E412" s="27">
        <v>16.36</v>
      </c>
      <c r="F412" s="20">
        <v>4.3948807542142948E-2</v>
      </c>
      <c r="G412" s="20">
        <v>4.3908907293316368E-2</v>
      </c>
      <c r="H412" s="19"/>
      <c r="I412" s="27">
        <f t="shared" si="6"/>
        <v>16.36</v>
      </c>
      <c r="J412" s="20">
        <v>6.7222060995929256E-5</v>
      </c>
      <c r="K412" s="20">
        <v>6.5114218219762098E-5</v>
      </c>
    </row>
    <row r="413" spans="2:11" ht="16.2" x14ac:dyDescent="0.3">
      <c r="B413"/>
      <c r="C413"/>
      <c r="D413" s="19"/>
      <c r="E413" s="27">
        <v>16.399999999999999</v>
      </c>
      <c r="F413" s="20">
        <v>4.3951496424582785E-2</v>
      </c>
      <c r="G413" s="20">
        <v>4.3911551565890154E-2</v>
      </c>
      <c r="H413" s="19"/>
      <c r="I413" s="27">
        <f t="shared" si="6"/>
        <v>16.399999999999999</v>
      </c>
      <c r="J413" s="20">
        <v>6.9232683281954255E-5</v>
      </c>
      <c r="K413" s="20">
        <v>6.7102529562643881E-5</v>
      </c>
    </row>
    <row r="414" spans="2:11" ht="16.2" x14ac:dyDescent="0.3">
      <c r="B414"/>
      <c r="C414"/>
      <c r="D414" s="19"/>
      <c r="E414" s="27">
        <v>16.440000000000001</v>
      </c>
      <c r="F414" s="20">
        <v>4.3954265731914063E-2</v>
      </c>
      <c r="G414" s="20">
        <v>4.3914275745865053E-2</v>
      </c>
      <c r="H414" s="19"/>
      <c r="I414" s="27">
        <f t="shared" si="6"/>
        <v>16.440000000000001</v>
      </c>
      <c r="J414" s="20">
        <v>7.126219827603697E-5</v>
      </c>
      <c r="K414" s="20">
        <v>6.9109604678698258E-5</v>
      </c>
    </row>
    <row r="415" spans="2:11" ht="16.2" x14ac:dyDescent="0.3">
      <c r="B415"/>
      <c r="C415"/>
      <c r="D415" s="19"/>
      <c r="E415" s="27">
        <v>16.48</v>
      </c>
      <c r="F415" s="20">
        <v>4.3957116219845105E-2</v>
      </c>
      <c r="G415" s="20">
        <v>4.3917080585761402E-2</v>
      </c>
      <c r="H415" s="19"/>
      <c r="I415" s="27">
        <f t="shared" si="6"/>
        <v>16.48</v>
      </c>
      <c r="J415" s="20">
        <v>7.3310706719814656E-5</v>
      </c>
      <c r="K415" s="20">
        <v>7.1135542101231013E-5</v>
      </c>
    </row>
    <row r="416" spans="2:11" ht="16.2" x14ac:dyDescent="0.3">
      <c r="B416"/>
      <c r="C416"/>
      <c r="D416" s="19"/>
      <c r="E416" s="27">
        <v>16.52</v>
      </c>
      <c r="F416" s="20">
        <v>4.3960048648113897E-2</v>
      </c>
      <c r="G416" s="20">
        <v>4.391996684205033E-2</v>
      </c>
      <c r="H416" s="19"/>
      <c r="I416" s="27">
        <f t="shared" si="6"/>
        <v>16.52</v>
      </c>
      <c r="J416" s="20">
        <v>7.5378315280913433E-5</v>
      </c>
      <c r="K416" s="20">
        <v>7.3180440832431716E-5</v>
      </c>
    </row>
    <row r="417" spans="2:11" ht="16.2" x14ac:dyDescent="0.3">
      <c r="B417"/>
      <c r="C417"/>
      <c r="D417" s="19"/>
      <c r="E417" s="27">
        <v>16.559999999999999</v>
      </c>
      <c r="F417" s="20">
        <v>4.3963063780725134E-2</v>
      </c>
      <c r="G417" s="20">
        <v>4.3922935275171729E-2</v>
      </c>
      <c r="H417" s="19"/>
      <c r="I417" s="27">
        <f t="shared" si="6"/>
        <v>16.559999999999999</v>
      </c>
      <c r="J417" s="20">
        <v>7.746511472266765E-5</v>
      </c>
      <c r="K417" s="20">
        <v>7.5244400346987021E-5</v>
      </c>
    </row>
    <row r="418" spans="2:11" ht="16.2" x14ac:dyDescent="0.3">
      <c r="B418"/>
      <c r="C418"/>
      <c r="D418" s="19"/>
      <c r="E418" s="27">
        <v>16.600000000000001</v>
      </c>
      <c r="F418" s="20">
        <v>4.3966162385314041E-2</v>
      </c>
      <c r="G418" s="20">
        <v>4.3925986649554202E-2</v>
      </c>
      <c r="H418" s="19"/>
      <c r="I418" s="27">
        <f t="shared" si="6"/>
        <v>16.600000000000001</v>
      </c>
      <c r="J418" s="20">
        <v>7.9571212916601519E-5</v>
      </c>
      <c r="K418" s="20">
        <v>7.7327520595654015E-5</v>
      </c>
    </row>
    <row r="419" spans="2:11" ht="16.2" x14ac:dyDescent="0.3">
      <c r="B419"/>
      <c r="C419"/>
      <c r="D419" s="19"/>
      <c r="E419" s="27">
        <v>16.64</v>
      </c>
      <c r="F419" s="20">
        <v>4.3969345233830705E-2</v>
      </c>
      <c r="G419" s="20">
        <v>4.3929121733634682E-2</v>
      </c>
      <c r="H419" s="19"/>
      <c r="I419" s="27">
        <f t="shared" si="6"/>
        <v>16.64</v>
      </c>
      <c r="J419" s="20">
        <v>8.1696706276564168E-5</v>
      </c>
      <c r="K419" s="20">
        <v>7.9429902009235561E-5</v>
      </c>
    </row>
    <row r="420" spans="2:11" ht="16.2" x14ac:dyDescent="0.3">
      <c r="B420"/>
      <c r="C420"/>
      <c r="D420" s="19"/>
      <c r="E420" s="27">
        <v>16.68</v>
      </c>
      <c r="F420" s="20">
        <v>4.3972613102081767E-2</v>
      </c>
      <c r="G420" s="20">
        <v>4.3932341299875985E-2</v>
      </c>
      <c r="H420" s="19"/>
      <c r="I420" s="27">
        <f t="shared" si="6"/>
        <v>16.68</v>
      </c>
      <c r="J420" s="20">
        <v>8.3841699073834708E-5</v>
      </c>
      <c r="K420" s="20">
        <v>8.1551645501926059E-5</v>
      </c>
    </row>
    <row r="421" spans="2:11" ht="16.2" x14ac:dyDescent="0.3">
      <c r="B421"/>
      <c r="C421"/>
      <c r="D421" s="19"/>
      <c r="E421" s="27">
        <v>16.72</v>
      </c>
      <c r="F421" s="20">
        <v>4.3975966770044721E-2</v>
      </c>
      <c r="G421" s="20">
        <v>4.3935646124787613E-2</v>
      </c>
      <c r="H421" s="19"/>
      <c r="I421" s="27">
        <f t="shared" si="6"/>
        <v>16.72</v>
      </c>
      <c r="J421" s="20">
        <v>8.6006292082836666E-5</v>
      </c>
      <c r="K421" s="20">
        <v>8.3692852475331493E-5</v>
      </c>
    </row>
    <row r="422" spans="2:11" ht="16.2" x14ac:dyDescent="0.3">
      <c r="B422"/>
      <c r="C422"/>
      <c r="D422" s="19"/>
      <c r="E422" s="27">
        <v>16.760000000000002</v>
      </c>
      <c r="F422" s="20">
        <v>4.3979407021728034E-2</v>
      </c>
      <c r="G422" s="20">
        <v>4.393903698894535E-2</v>
      </c>
      <c r="H422" s="19"/>
      <c r="I422" s="27">
        <f t="shared" si="6"/>
        <v>16.760000000000002</v>
      </c>
      <c r="J422" s="20">
        <v>8.8190589969498745E-5</v>
      </c>
      <c r="K422" s="20">
        <v>8.5853624822247997E-5</v>
      </c>
    </row>
    <row r="423" spans="2:11" ht="16.2" x14ac:dyDescent="0.3">
      <c r="B423"/>
      <c r="C423"/>
      <c r="D423" s="19"/>
      <c r="E423" s="27">
        <v>16.8</v>
      </c>
      <c r="F423" s="20">
        <v>4.3982934645326814E-2</v>
      </c>
      <c r="G423" s="20">
        <v>4.3942514677009964E-2</v>
      </c>
      <c r="H423" s="19"/>
      <c r="I423" s="27">
        <f t="shared" si="6"/>
        <v>16.8</v>
      </c>
      <c r="J423" s="20">
        <v>9.0394691698060525E-5</v>
      </c>
      <c r="K423" s="20">
        <v>8.8034064930441955E-5</v>
      </c>
    </row>
    <row r="424" spans="2:11" ht="16.2" x14ac:dyDescent="0.3">
      <c r="B424"/>
      <c r="C424"/>
      <c r="D424" s="19"/>
      <c r="E424" s="27">
        <v>16.84</v>
      </c>
      <c r="F424" s="20">
        <v>4.3986550432994737E-2</v>
      </c>
      <c r="G424" s="20">
        <v>4.3946079977748187E-2</v>
      </c>
      <c r="H424" s="19"/>
      <c r="I424" s="27">
        <f t="shared" si="6"/>
        <v>16.84</v>
      </c>
      <c r="J424" s="20">
        <v>9.2618704892674653E-5</v>
      </c>
      <c r="K424" s="20">
        <v>9.0234275686664636E-5</v>
      </c>
    </row>
    <row r="425" spans="2:11" ht="16.2" x14ac:dyDescent="0.3">
      <c r="B425"/>
      <c r="C425"/>
      <c r="D425" s="19"/>
      <c r="E425" s="27">
        <v>16.88</v>
      </c>
      <c r="F425" s="20">
        <v>4.3990255181190444E-2</v>
      </c>
      <c r="G425" s="20">
        <v>4.3949733684051973E-2</v>
      </c>
      <c r="H425" s="19"/>
      <c r="I425" s="27">
        <f t="shared" si="6"/>
        <v>16.88</v>
      </c>
      <c r="J425" s="20">
        <v>9.4862731351078033E-5</v>
      </c>
      <c r="K425" s="20">
        <v>9.2454360480542869E-5</v>
      </c>
    </row>
    <row r="426" spans="2:11" ht="16.2" x14ac:dyDescent="0.3">
      <c r="B426"/>
      <c r="C426"/>
      <c r="D426" s="19"/>
      <c r="E426" s="27">
        <v>16.920000000000002</v>
      </c>
      <c r="F426" s="20">
        <v>4.3994049690444487E-2</v>
      </c>
      <c r="G426" s="20">
        <v>4.3953476592958757E-2</v>
      </c>
      <c r="H426" s="19"/>
      <c r="I426" s="27">
        <f t="shared" si="6"/>
        <v>16.920000000000002</v>
      </c>
      <c r="J426" s="20">
        <v>9.7126879378128805E-5</v>
      </c>
      <c r="K426" s="20">
        <v>9.4694423208559815E-5</v>
      </c>
    </row>
    <row r="427" spans="2:11" ht="16.2" x14ac:dyDescent="0.3">
      <c r="B427"/>
      <c r="C427"/>
      <c r="D427" s="19"/>
      <c r="E427" s="27">
        <v>16.96</v>
      </c>
      <c r="F427" s="20">
        <v>4.3997934765619612E-2</v>
      </c>
      <c r="G427" s="20">
        <v>4.3957309505672913E-2</v>
      </c>
      <c r="H427" s="19"/>
      <c r="I427" s="27">
        <f t="shared" si="6"/>
        <v>16.96</v>
      </c>
      <c r="J427" s="20">
        <v>9.9411247373067113E-5</v>
      </c>
      <c r="K427" s="20">
        <v>9.6954568278317165E-5</v>
      </c>
    </row>
    <row r="428" spans="2:11" ht="16.2" x14ac:dyDescent="0.3">
      <c r="B428"/>
      <c r="C428"/>
      <c r="D428" s="19"/>
      <c r="E428" s="27">
        <v>17</v>
      </c>
      <c r="F428" s="20">
        <v>4.4001911215514534E-2</v>
      </c>
      <c r="G428" s="20">
        <v>4.396123322758428E-2</v>
      </c>
      <c r="H428" s="19"/>
      <c r="I428" s="27">
        <f t="shared" si="6"/>
        <v>17</v>
      </c>
      <c r="J428" s="20">
        <v>1.0171594688728608E-4</v>
      </c>
      <c r="K428" s="20">
        <v>9.9234900612231648E-5</v>
      </c>
    </row>
    <row r="429" spans="2:11" ht="16.2" x14ac:dyDescent="0.3">
      <c r="B429"/>
      <c r="C429"/>
      <c r="D429" s="19"/>
      <c r="E429" s="27">
        <v>17.04</v>
      </c>
      <c r="F429" s="20">
        <v>4.4005979853390026E-2</v>
      </c>
      <c r="G429" s="20">
        <v>4.3965248568290816E-2</v>
      </c>
      <c r="H429" s="19"/>
      <c r="I429" s="27">
        <f t="shared" si="6"/>
        <v>17.04</v>
      </c>
      <c r="J429" s="20">
        <v>1.0404108239832344E-4</v>
      </c>
      <c r="K429" s="20">
        <v>1.0153552565210303E-4</v>
      </c>
    </row>
    <row r="430" spans="2:11" ht="16.2" x14ac:dyDescent="0.3">
      <c r="B430"/>
      <c r="C430"/>
      <c r="D430" s="19"/>
      <c r="E430" s="27">
        <v>17.079999999999998</v>
      </c>
      <c r="F430" s="20">
        <v>4.4010141496685959E-2</v>
      </c>
      <c r="G430" s="20">
        <v>4.3969356341618686E-2</v>
      </c>
      <c r="H430" s="19"/>
      <c r="I430" s="27">
        <f t="shared" si="6"/>
        <v>17.079999999999998</v>
      </c>
      <c r="J430" s="20">
        <v>1.0638675939020348E-4</v>
      </c>
      <c r="K430" s="20">
        <v>1.0385654936312443E-4</v>
      </c>
    </row>
    <row r="431" spans="2:11" ht="16.2" x14ac:dyDescent="0.3">
      <c r="B431"/>
      <c r="C431"/>
      <c r="D431" s="19"/>
      <c r="E431" s="27">
        <v>17.12</v>
      </c>
      <c r="F431" s="20">
        <v>4.4014396967061567E-2</v>
      </c>
      <c r="G431" s="20">
        <v>4.3973557365641958E-2</v>
      </c>
      <c r="H431" s="19"/>
      <c r="I431" s="27">
        <f t="shared" si="6"/>
        <v>17.12</v>
      </c>
      <c r="J431" s="20">
        <v>1.0875308721711857E-4</v>
      </c>
      <c r="K431" s="20">
        <v>1.0619807823800885E-4</v>
      </c>
    </row>
    <row r="432" spans="2:11" ht="16.2" x14ac:dyDescent="0.3">
      <c r="B432"/>
      <c r="C432"/>
      <c r="D432" s="19"/>
      <c r="E432" s="27">
        <v>17.16</v>
      </c>
      <c r="F432" s="20">
        <v>4.4018747090550252E-2</v>
      </c>
      <c r="G432" s="20">
        <v>4.3977852462706725E-2</v>
      </c>
      <c r="H432" s="19"/>
      <c r="I432" s="27">
        <f t="shared" si="6"/>
        <v>17.16</v>
      </c>
      <c r="J432" s="20">
        <v>1.1114017231302759E-4</v>
      </c>
      <c r="K432" s="20">
        <v>1.0856021930163924E-4</v>
      </c>
    </row>
    <row r="433" spans="2:11" ht="16.2" x14ac:dyDescent="0.3">
      <c r="B433"/>
      <c r="C433"/>
      <c r="D433" s="19"/>
      <c r="E433" s="27">
        <v>17.2</v>
      </c>
      <c r="F433" s="20">
        <v>4.4023192697442773E-2</v>
      </c>
      <c r="G433" s="20">
        <v>4.3982242459449462E-2</v>
      </c>
      <c r="H433" s="19"/>
      <c r="I433" s="27">
        <f t="shared" si="6"/>
        <v>17.2</v>
      </c>
      <c r="J433" s="20">
        <v>1.1354812101977557E-4</v>
      </c>
      <c r="K433" s="20">
        <v>1.1094308011506044E-4</v>
      </c>
    </row>
    <row r="434" spans="2:11" ht="16.2" x14ac:dyDescent="0.3">
      <c r="B434"/>
      <c r="C434"/>
      <c r="D434" s="19"/>
      <c r="E434" s="27">
        <v>17.239999999999998</v>
      </c>
      <c r="F434" s="20">
        <v>4.4027734622283564E-2</v>
      </c>
      <c r="G434" s="20">
        <v>4.3986728186820423E-2</v>
      </c>
      <c r="H434" s="19"/>
      <c r="I434" s="27">
        <f t="shared" si="6"/>
        <v>17.239999999999998</v>
      </c>
      <c r="J434" s="20">
        <v>1.1597704830702826E-4</v>
      </c>
      <c r="K434" s="20">
        <v>1.1334676878002877E-4</v>
      </c>
    </row>
    <row r="435" spans="2:11" ht="16.2" x14ac:dyDescent="0.3">
      <c r="B435"/>
      <c r="C435"/>
      <c r="D435" s="19"/>
      <c r="E435" s="27">
        <v>17.28</v>
      </c>
      <c r="F435" s="20">
        <v>4.4032373704215845E-2</v>
      </c>
      <c r="G435" s="20">
        <v>4.3991310480104864E-2</v>
      </c>
      <c r="H435" s="19"/>
      <c r="I435" s="27">
        <f t="shared" si="6"/>
        <v>17.28</v>
      </c>
      <c r="J435" s="20">
        <v>1.1842705739933262E-4</v>
      </c>
      <c r="K435" s="20">
        <v>1.157713939435438E-4</v>
      </c>
    </row>
    <row r="436" spans="2:11" ht="16.2" x14ac:dyDescent="0.3">
      <c r="B436"/>
      <c r="C436"/>
      <c r="D436" s="19"/>
      <c r="E436" s="27">
        <v>17.32</v>
      </c>
      <c r="F436" s="20">
        <v>4.4037110786511818E-2</v>
      </c>
      <c r="G436" s="20">
        <v>4.3995990178944719E-2</v>
      </c>
      <c r="H436" s="19"/>
      <c r="I436" s="27">
        <f t="shared" si="6"/>
        <v>17.32</v>
      </c>
      <c r="J436" s="20">
        <v>1.2089826114062424E-4</v>
      </c>
      <c r="K436" s="20">
        <v>1.1821706480229443E-4</v>
      </c>
    </row>
    <row r="437" spans="2:11" ht="16.2" x14ac:dyDescent="0.3">
      <c r="B437"/>
      <c r="C437"/>
      <c r="D437" s="19"/>
      <c r="E437" s="27">
        <v>17.36</v>
      </c>
      <c r="F437" s="20">
        <v>4.4041946716957443E-2</v>
      </c>
      <c r="G437" s="20">
        <v>4.4000768127361513E-2</v>
      </c>
      <c r="H437" s="19"/>
      <c r="I437" s="27">
        <f t="shared" si="6"/>
        <v>17.36</v>
      </c>
      <c r="J437" s="20">
        <v>1.2339076870711285E-4</v>
      </c>
      <c r="K437" s="20">
        <v>1.2068389110723601E-4</v>
      </c>
    </row>
    <row r="438" spans="2:11" ht="16.2" x14ac:dyDescent="0.3">
      <c r="B438"/>
      <c r="C438"/>
      <c r="D438" s="19"/>
      <c r="E438" s="27">
        <v>17.399999999999999</v>
      </c>
      <c r="F438" s="20">
        <v>4.4046882347705728E-2</v>
      </c>
      <c r="G438" s="20">
        <v>4.4005645173776489E-2</v>
      </c>
      <c r="H438" s="19"/>
      <c r="I438" s="27">
        <f t="shared" si="6"/>
        <v>17.399999999999999</v>
      </c>
      <c r="J438" s="20">
        <v>1.2590469359186757E-4</v>
      </c>
      <c r="K438" s="20">
        <v>1.2317198316810662E-4</v>
      </c>
    </row>
    <row r="439" spans="2:11" ht="16.2" x14ac:dyDescent="0.3">
      <c r="B439"/>
      <c r="C439"/>
      <c r="D439" s="19"/>
      <c r="E439" s="27">
        <v>17.440000000000001</v>
      </c>
      <c r="F439" s="20">
        <v>4.4051918535449403E-2</v>
      </c>
      <c r="G439" s="20">
        <v>4.4010622171036407E-2</v>
      </c>
      <c r="H439" s="19"/>
      <c r="I439" s="27">
        <f t="shared" si="6"/>
        <v>17.440000000000001</v>
      </c>
      <c r="J439" s="20">
        <v>1.2844014472841031E-4</v>
      </c>
      <c r="K439" s="20">
        <v>1.2568145185828269E-4</v>
      </c>
    </row>
    <row r="440" spans="2:11" ht="16.2" x14ac:dyDescent="0.3">
      <c r="B440"/>
      <c r="C440"/>
      <c r="D440" s="19"/>
      <c r="E440" s="27">
        <v>17.48</v>
      </c>
      <c r="F440" s="20">
        <v>4.4057056141238539E-2</v>
      </c>
      <c r="G440" s="20">
        <v>4.4015699976432746E-2</v>
      </c>
      <c r="H440" s="19"/>
      <c r="I440" s="27">
        <f t="shared" si="6"/>
        <v>17.48</v>
      </c>
      <c r="J440" s="20">
        <v>1.3099723713654032E-4</v>
      </c>
      <c r="K440" s="20">
        <v>1.2821240861938773E-4</v>
      </c>
    </row>
    <row r="441" spans="2:11" ht="16.2" x14ac:dyDescent="0.3">
      <c r="B441"/>
      <c r="C441"/>
      <c r="D441" s="19"/>
      <c r="E441" s="27">
        <v>17.52</v>
      </c>
      <c r="F441" s="20">
        <v>4.4062296030724001E-2</v>
      </c>
      <c r="G441" s="20">
        <v>4.4020879451726933E-2</v>
      </c>
      <c r="H441" s="19"/>
      <c r="I441" s="27">
        <f t="shared" si="6"/>
        <v>17.52</v>
      </c>
      <c r="J441" s="20">
        <v>1.3357608026325768E-4</v>
      </c>
      <c r="K441" s="20">
        <v>1.307649654661389E-4</v>
      </c>
    </row>
    <row r="442" spans="2:11" ht="16.2" x14ac:dyDescent="0.3">
      <c r="B442"/>
      <c r="C442"/>
      <c r="D442" s="19"/>
      <c r="E442" s="27">
        <v>17.559999999999999</v>
      </c>
      <c r="F442" s="20">
        <v>4.4067639073934531E-2</v>
      </c>
      <c r="G442" s="20">
        <v>4.4026161463172168E-2</v>
      </c>
      <c r="H442" s="19"/>
      <c r="I442" s="27">
        <f t="shared" si="6"/>
        <v>17.559999999999999</v>
      </c>
      <c r="J442" s="20">
        <v>1.3617679080341061E-4</v>
      </c>
      <c r="K442" s="20">
        <v>1.3333923499114127E-4</v>
      </c>
    </row>
    <row r="443" spans="2:11" ht="16.2" x14ac:dyDescent="0.3">
      <c r="B443"/>
      <c r="C443"/>
      <c r="D443" s="19"/>
      <c r="E443" s="27">
        <v>17.600000000000001</v>
      </c>
      <c r="F443" s="20">
        <v>4.4073086145566667E-2</v>
      </c>
      <c r="G443" s="20">
        <v>4.4031546881537265E-2</v>
      </c>
      <c r="H443" s="19"/>
      <c r="I443" s="27">
        <f t="shared" si="6"/>
        <v>17.600000000000001</v>
      </c>
      <c r="J443" s="20">
        <v>1.3879948025583011E-4</v>
      </c>
      <c r="K443" s="20">
        <v>1.3593533036986401E-4</v>
      </c>
    </row>
    <row r="444" spans="2:11" ht="16.2" x14ac:dyDescent="0.3">
      <c r="B444"/>
      <c r="C444"/>
      <c r="D444" s="19"/>
      <c r="E444" s="27">
        <v>17.64</v>
      </c>
      <c r="F444" s="20">
        <v>4.40786381247769E-2</v>
      </c>
      <c r="G444" s="20">
        <v>4.4037036582129513E-2</v>
      </c>
      <c r="H444" s="19"/>
      <c r="I444" s="27">
        <f t="shared" si="6"/>
        <v>17.64</v>
      </c>
      <c r="J444" s="20">
        <v>1.4144426588123121E-4</v>
      </c>
      <c r="K444" s="20">
        <v>1.3855336536550787E-4</v>
      </c>
    </row>
    <row r="445" spans="2:11" ht="16.2" x14ac:dyDescent="0.3">
      <c r="B445"/>
      <c r="C445"/>
      <c r="D445" s="19"/>
      <c r="E445" s="27">
        <v>17.68</v>
      </c>
      <c r="F445" s="20">
        <v>4.408429589541215E-2</v>
      </c>
      <c r="G445" s="20">
        <v>4.4042631444819097E-2</v>
      </c>
      <c r="H445" s="19"/>
      <c r="I445" s="27">
        <f t="shared" si="6"/>
        <v>17.68</v>
      </c>
      <c r="J445" s="20">
        <v>1.4411126023541193E-4</v>
      </c>
      <c r="K445" s="20">
        <v>1.4119345433415807E-4</v>
      </c>
    </row>
    <row r="446" spans="2:11" ht="16.2" x14ac:dyDescent="0.3">
      <c r="B446"/>
      <c r="C446"/>
      <c r="D446" s="19"/>
      <c r="E446" s="27">
        <v>17.72</v>
      </c>
      <c r="F446" s="20">
        <v>4.4090060345821566E-2</v>
      </c>
      <c r="G446" s="20">
        <v>4.4048332354061651E-2</v>
      </c>
      <c r="H446" s="19"/>
      <c r="I446" s="27">
        <f t="shared" si="6"/>
        <v>17.72</v>
      </c>
      <c r="J446" s="20">
        <v>1.4680058014280434E-4</v>
      </c>
      <c r="K446" s="20">
        <v>1.4385571222971512E-4</v>
      </c>
    </row>
    <row r="447" spans="2:11" ht="16.2" x14ac:dyDescent="0.3">
      <c r="B447"/>
      <c r="C447"/>
      <c r="D447" s="19"/>
      <c r="E447" s="27">
        <v>17.760000000000002</v>
      </c>
      <c r="F447" s="20">
        <v>4.4095932369027278E-2</v>
      </c>
      <c r="G447" s="20">
        <v>4.4054140198923612E-2</v>
      </c>
      <c r="H447" s="19"/>
      <c r="I447" s="27">
        <f t="shared" si="6"/>
        <v>17.760000000000002</v>
      </c>
      <c r="J447" s="20">
        <v>1.4951234355818632E-4</v>
      </c>
      <c r="K447" s="20">
        <v>1.4654025460915311E-4</v>
      </c>
    </row>
    <row r="448" spans="2:11" ht="16.2" x14ac:dyDescent="0.3">
      <c r="B448"/>
      <c r="C448"/>
      <c r="D448" s="19"/>
      <c r="E448" s="27">
        <v>17.8</v>
      </c>
      <c r="F448" s="20">
        <v>4.4101912862769606E-2</v>
      </c>
      <c r="G448" s="20">
        <v>4.406005587310545E-2</v>
      </c>
      <c r="H448" s="19"/>
      <c r="I448" s="27">
        <f t="shared" si="6"/>
        <v>17.8</v>
      </c>
      <c r="J448" s="20">
        <v>1.5224666421401883E-4</v>
      </c>
      <c r="K448" s="20">
        <v>1.492471976377114E-4</v>
      </c>
    </row>
    <row r="449" spans="2:11" ht="16.2" x14ac:dyDescent="0.3">
      <c r="B449"/>
      <c r="C449"/>
      <c r="D449" s="19"/>
      <c r="E449" s="27">
        <v>17.84</v>
      </c>
      <c r="F449" s="20">
        <v>4.4108002729338167E-2</v>
      </c>
      <c r="G449" s="20">
        <v>4.406608027496698E-2</v>
      </c>
      <c r="H449" s="19"/>
      <c r="I449" s="27">
        <f t="shared" si="6"/>
        <v>17.84</v>
      </c>
      <c r="J449" s="20">
        <v>1.5500366372430546E-4</v>
      </c>
      <c r="K449" s="20">
        <v>1.5197665809414389E-4</v>
      </c>
    </row>
    <row r="450" spans="2:11" ht="16.2" x14ac:dyDescent="0.3">
      <c r="B450"/>
      <c r="C450"/>
      <c r="D450" s="19"/>
      <c r="E450" s="27">
        <v>17.88</v>
      </c>
      <c r="F450" s="20">
        <v>4.4114202875887139E-2</v>
      </c>
      <c r="G450" s="20">
        <v>4.4072214307550539E-2</v>
      </c>
      <c r="H450" s="19"/>
      <c r="I450" s="27">
        <f t="shared" si="6"/>
        <v>17.88</v>
      </c>
      <c r="J450" s="20">
        <v>1.5778345693329143E-4</v>
      </c>
      <c r="K450" s="20">
        <v>1.547287533759168E-4</v>
      </c>
    </row>
    <row r="451" spans="2:11" ht="16.2" x14ac:dyDescent="0.3">
      <c r="B451"/>
      <c r="C451"/>
      <c r="D451" s="19"/>
      <c r="E451" s="27">
        <v>17.920000000000002</v>
      </c>
      <c r="F451" s="20">
        <v>4.412051421416447E-2</v>
      </c>
      <c r="G451" s="20">
        <v>4.4078458878607785E-2</v>
      </c>
      <c r="H451" s="19"/>
      <c r="I451" s="27">
        <f t="shared" si="6"/>
        <v>17.920000000000002</v>
      </c>
      <c r="J451" s="20">
        <v>1.6058616262269731E-4</v>
      </c>
      <c r="K451" s="20">
        <v>1.5750360150486108E-4</v>
      </c>
    </row>
    <row r="452" spans="2:11" ht="16.2" x14ac:dyDescent="0.3">
      <c r="B452"/>
      <c r="C452"/>
      <c r="D452" s="19"/>
      <c r="E452" s="27">
        <v>17.96</v>
      </c>
      <c r="F452" s="20">
        <v>4.4126937660669378E-2</v>
      </c>
      <c r="G452" s="20">
        <v>4.4084814900623853E-2</v>
      </c>
      <c r="H452" s="19"/>
      <c r="I452" s="27">
        <f t="shared" ref="I452:I515" si="7">IF(E452&lt;&gt;"",E452,"")</f>
        <v>17.96</v>
      </c>
      <c r="J452" s="20">
        <v>1.6341190535573008E-4</v>
      </c>
      <c r="K452" s="20">
        <v>1.6030132113254453E-4</v>
      </c>
    </row>
    <row r="453" spans="2:11" ht="16.2" x14ac:dyDescent="0.3">
      <c r="B453"/>
      <c r="C453"/>
      <c r="D453" s="19"/>
      <c r="E453" s="27">
        <v>18</v>
      </c>
      <c r="F453" s="20">
        <v>4.4133474136883608E-2</v>
      </c>
      <c r="G453" s="20">
        <v>4.4091283290841991E-2</v>
      </c>
      <c r="H453" s="19"/>
      <c r="I453" s="27">
        <f t="shared" si="7"/>
        <v>18</v>
      </c>
      <c r="J453" s="20">
        <v>1.6626080098121332E-4</v>
      </c>
      <c r="K453" s="20">
        <v>1.6312203154565259E-4</v>
      </c>
    </row>
    <row r="454" spans="2:11" ht="16.2" x14ac:dyDescent="0.3">
      <c r="B454"/>
      <c r="C454"/>
      <c r="D454" s="19"/>
      <c r="E454" s="27">
        <v>18.04</v>
      </c>
      <c r="F454" s="20">
        <v>4.4140124568922856E-2</v>
      </c>
      <c r="G454" s="20">
        <v>4.4097864971290139E-2</v>
      </c>
      <c r="H454" s="19"/>
      <c r="I454" s="27">
        <f t="shared" si="7"/>
        <v>18.04</v>
      </c>
      <c r="J454" s="20">
        <v>1.6913296814677348E-4</v>
      </c>
      <c r="K454" s="20">
        <v>1.65965852671758E-4</v>
      </c>
    </row>
    <row r="455" spans="2:11" ht="16.2" x14ac:dyDescent="0.3">
      <c r="B455"/>
      <c r="C455"/>
      <c r="D455" s="19"/>
      <c r="E455" s="27">
        <v>18.079999999999998</v>
      </c>
      <c r="F455" s="20">
        <v>4.4146889887648727E-2</v>
      </c>
      <c r="G455" s="20">
        <v>4.4104560868805785E-2</v>
      </c>
      <c r="H455" s="19"/>
      <c r="I455" s="27">
        <f t="shared" si="7"/>
        <v>18.079999999999998</v>
      </c>
      <c r="J455" s="20">
        <v>1.7202853635298748E-4</v>
      </c>
      <c r="K455" s="20">
        <v>1.6883290508479362E-4</v>
      </c>
    </row>
    <row r="456" spans="2:11" ht="16.2" x14ac:dyDescent="0.3">
      <c r="B456"/>
      <c r="C456"/>
      <c r="D456" s="19"/>
      <c r="E456" s="27">
        <v>18.12</v>
      </c>
      <c r="F456" s="20">
        <v>4.4153771029102847E-2</v>
      </c>
      <c r="G456" s="20">
        <v>4.4111371915063084E-2</v>
      </c>
      <c r="H456" s="19"/>
      <c r="I456" s="27">
        <f t="shared" si="7"/>
        <v>18.12</v>
      </c>
      <c r="J456" s="20">
        <v>1.7494761925147817E-4</v>
      </c>
      <c r="K456" s="20">
        <v>1.7172331001101955E-4</v>
      </c>
    </row>
    <row r="457" spans="2:11" ht="16.2" x14ac:dyDescent="0.3">
      <c r="B457"/>
      <c r="C457"/>
      <c r="D457" s="19"/>
      <c r="E457" s="27">
        <v>18.16</v>
      </c>
      <c r="F457" s="20">
        <v>4.4160768933872906E-2</v>
      </c>
      <c r="G457" s="20">
        <v>4.4118299046598433E-2</v>
      </c>
      <c r="H457" s="19"/>
      <c r="I457" s="27">
        <f t="shared" si="7"/>
        <v>18.16</v>
      </c>
      <c r="J457" s="20">
        <v>1.7789034483847027E-4</v>
      </c>
      <c r="K457" s="20">
        <v>1.7463718933472252E-4</v>
      </c>
    </row>
    <row r="458" spans="2:11" ht="16.2" x14ac:dyDescent="0.3">
      <c r="B458"/>
      <c r="C458"/>
      <c r="D458" s="19"/>
      <c r="E458" s="27">
        <v>18.2</v>
      </c>
      <c r="F458" s="20">
        <v>4.4167884547666444E-2</v>
      </c>
      <c r="G458" s="20">
        <v>4.4125343204835472E-2</v>
      </c>
      <c r="H458" s="19"/>
      <c r="I458" s="27">
        <f t="shared" si="7"/>
        <v>18.2</v>
      </c>
      <c r="J458" s="20">
        <v>1.8085683324998297E-4</v>
      </c>
      <c r="K458" s="20">
        <v>1.7757466560387532E-4</v>
      </c>
    </row>
    <row r="459" spans="2:11" ht="16.2" x14ac:dyDescent="0.3">
      <c r="B459"/>
      <c r="C459"/>
      <c r="D459" s="19"/>
      <c r="E459" s="27">
        <v>18.239999999999998</v>
      </c>
      <c r="F459" s="20">
        <v>4.4175118820996444E-2</v>
      </c>
      <c r="G459" s="20">
        <v>4.4132505336115582E-2</v>
      </c>
      <c r="H459" s="19"/>
      <c r="I459" s="27">
        <f t="shared" si="7"/>
        <v>18.239999999999998</v>
      </c>
      <c r="J459" s="20">
        <v>1.8384721308124102E-4</v>
      </c>
      <c r="K459" s="20">
        <v>1.8053586203649224E-4</v>
      </c>
    </row>
    <row r="460" spans="2:11" ht="16.2" x14ac:dyDescent="0.3">
      <c r="B460"/>
      <c r="C460"/>
      <c r="D460" s="19"/>
      <c r="E460" s="27">
        <v>18.28</v>
      </c>
      <c r="F460" s="20">
        <v>4.4182472709519693E-2</v>
      </c>
      <c r="G460" s="20">
        <v>4.4139786391719026E-2</v>
      </c>
      <c r="H460" s="19"/>
      <c r="I460" s="27">
        <f t="shared" si="7"/>
        <v>18.28</v>
      </c>
      <c r="J460" s="20">
        <v>1.8686160609179131E-4</v>
      </c>
      <c r="K460" s="20">
        <v>1.8352090252610499E-4</v>
      </c>
    </row>
    <row r="461" spans="2:11" ht="16.2" x14ac:dyDescent="0.3">
      <c r="B461"/>
      <c r="C461"/>
      <c r="D461" s="19"/>
      <c r="E461" s="27">
        <v>18.32</v>
      </c>
      <c r="F461" s="20">
        <v>4.4189947173763365E-2</v>
      </c>
      <c r="G461" s="20">
        <v>4.4147187327898976E-2</v>
      </c>
      <c r="H461" s="19"/>
      <c r="I461" s="27">
        <f t="shared" si="7"/>
        <v>18.32</v>
      </c>
      <c r="J461" s="20">
        <v>1.8990013534846834E-4</v>
      </c>
      <c r="K461" s="20">
        <v>1.8652991164841797E-4</v>
      </c>
    </row>
    <row r="462" spans="2:11" ht="16.2" x14ac:dyDescent="0.3">
      <c r="B462"/>
      <c r="C462"/>
      <c r="D462" s="19"/>
      <c r="E462" s="27">
        <v>18.36</v>
      </c>
      <c r="F462" s="20">
        <v>4.4197543179177304E-2</v>
      </c>
      <c r="G462" s="20">
        <v>4.4154709105902745E-2</v>
      </c>
      <c r="H462" s="19"/>
      <c r="I462" s="27">
        <f t="shared" si="7"/>
        <v>18.36</v>
      </c>
      <c r="J462" s="20">
        <v>1.9296293310468171E-4</v>
      </c>
      <c r="K462" s="20">
        <v>1.8956301466696809E-4</v>
      </c>
    </row>
    <row r="463" spans="2:11" ht="16.2" x14ac:dyDescent="0.3">
      <c r="B463"/>
      <c r="C463"/>
      <c r="D463" s="19"/>
      <c r="E463" s="27">
        <v>18.399999999999999</v>
      </c>
      <c r="F463" s="20">
        <v>4.4205261696501491E-2</v>
      </c>
      <c r="G463" s="20">
        <v>4.4162352692003089E-2</v>
      </c>
      <c r="H463" s="19"/>
      <c r="I463" s="27">
        <f t="shared" si="7"/>
        <v>18.399999999999999</v>
      </c>
      <c r="J463" s="20">
        <v>1.9605012450910758E-4</v>
      </c>
      <c r="K463" s="20">
        <v>1.9262033753965037E-4</v>
      </c>
    </row>
    <row r="464" spans="2:11" ht="16.2" x14ac:dyDescent="0.3">
      <c r="B464"/>
      <c r="C464"/>
      <c r="D464" s="19"/>
      <c r="E464" s="27">
        <v>18.440000000000001</v>
      </c>
      <c r="F464" s="20">
        <v>4.4213103701481855E-2</v>
      </c>
      <c r="G464" s="20">
        <v>4.4170119057525777E-2</v>
      </c>
      <c r="H464" s="19"/>
      <c r="I464" s="27">
        <f t="shared" si="7"/>
        <v>18.440000000000001</v>
      </c>
      <c r="J464" s="20">
        <v>1.9916183000619897E-4</v>
      </c>
      <c r="K464" s="20">
        <v>1.9570200692496054E-4</v>
      </c>
    </row>
    <row r="465" spans="2:11" ht="16.2" x14ac:dyDescent="0.3">
      <c r="B465"/>
      <c r="C465"/>
      <c r="D465" s="19"/>
      <c r="E465" s="27">
        <v>18.48</v>
      </c>
      <c r="F465" s="20">
        <v>4.4221070174682103E-2</v>
      </c>
      <c r="G465" s="20">
        <v>4.4178009178875516E-2</v>
      </c>
      <c r="H465" s="19"/>
      <c r="I465" s="27">
        <f t="shared" si="7"/>
        <v>18.48</v>
      </c>
      <c r="J465" s="20">
        <v>2.0229819320434494E-4</v>
      </c>
      <c r="K465" s="20">
        <v>1.9880815018829135E-4</v>
      </c>
    </row>
    <row r="466" spans="2:11" ht="16.2" x14ac:dyDescent="0.3">
      <c r="B466"/>
      <c r="C466"/>
      <c r="D466" s="19"/>
      <c r="E466" s="27">
        <v>18.52</v>
      </c>
      <c r="F466" s="20">
        <v>4.4229162102410277E-2</v>
      </c>
      <c r="G466" s="20">
        <v>4.4186024037566461E-2</v>
      </c>
      <c r="H466" s="19"/>
      <c r="I466" s="27">
        <f t="shared" si="7"/>
        <v>18.52</v>
      </c>
      <c r="J466" s="20">
        <v>2.0545932548094586E-4</v>
      </c>
      <c r="K466" s="20">
        <v>2.0193889540836036E-4</v>
      </c>
    </row>
    <row r="467" spans="2:11" ht="16.2" x14ac:dyDescent="0.3">
      <c r="B467"/>
      <c r="C467"/>
      <c r="D467" s="19"/>
      <c r="E467" s="27">
        <v>18.559999999999999</v>
      </c>
      <c r="F467" s="20">
        <v>4.4237380475429515E-2</v>
      </c>
      <c r="G467" s="20">
        <v>4.4194164620250997E-2</v>
      </c>
      <c r="H467" s="19"/>
      <c r="I467" s="27">
        <f t="shared" si="7"/>
        <v>18.559999999999999</v>
      </c>
      <c r="J467" s="20">
        <v>2.0864537113272907E-4</v>
      </c>
      <c r="K467" s="20">
        <v>2.0509437138394726E-4</v>
      </c>
    </row>
    <row r="468" spans="2:11" ht="16.2" x14ac:dyDescent="0.3">
      <c r="B468"/>
      <c r="C468"/>
      <c r="D468" s="19"/>
      <c r="E468" s="27">
        <v>18.600000000000001</v>
      </c>
      <c r="F468" s="20">
        <v>4.4245726290274824E-2</v>
      </c>
      <c r="G468" s="20">
        <v>4.4202431918747065E-2</v>
      </c>
      <c r="H468" s="19"/>
      <c r="I468" s="27">
        <f t="shared" si="7"/>
        <v>18.600000000000001</v>
      </c>
      <c r="J468" s="20">
        <v>2.1185644926424718E-4</v>
      </c>
      <c r="K468" s="20">
        <v>2.08274707640282E-4</v>
      </c>
    </row>
    <row r="469" spans="2:11" ht="16.2" x14ac:dyDescent="0.3">
      <c r="B469"/>
      <c r="C469"/>
      <c r="D469" s="19"/>
      <c r="E469" s="27">
        <v>18.64</v>
      </c>
      <c r="F469" s="20">
        <v>4.4254200548245394E-2</v>
      </c>
      <c r="G469" s="20">
        <v>4.4210826930069023E-2</v>
      </c>
      <c r="H469" s="19"/>
      <c r="I469" s="27">
        <f t="shared" si="7"/>
        <v>18.64</v>
      </c>
      <c r="J469" s="20">
        <v>2.1509270307796396E-4</v>
      </c>
      <c r="K469" s="20">
        <v>2.1148003443591262E-4</v>
      </c>
    </row>
    <row r="470" spans="2:11" ht="16.2" x14ac:dyDescent="0.3">
      <c r="B470"/>
      <c r="C470"/>
      <c r="D470" s="19"/>
      <c r="E470" s="27">
        <v>18.68</v>
      </c>
      <c r="F470" s="20">
        <v>4.4262804256368513E-2</v>
      </c>
      <c r="G470" s="20">
        <v>4.4219350656455381E-2</v>
      </c>
      <c r="H470" s="19"/>
      <c r="I470" s="27">
        <f t="shared" si="7"/>
        <v>18.68</v>
      </c>
      <c r="J470" s="20">
        <v>2.1835425326743874E-4</v>
      </c>
      <c r="K470" s="20">
        <v>2.1471048276930485E-4</v>
      </c>
    </row>
    <row r="471" spans="2:11" ht="16.2" x14ac:dyDescent="0.3">
      <c r="B471"/>
      <c r="C471"/>
      <c r="D471" s="19"/>
      <c r="E471" s="27">
        <v>18.72</v>
      </c>
      <c r="F471" s="20">
        <v>4.427153842649921E-2</v>
      </c>
      <c r="G471" s="20">
        <v>4.4228004105400703E-2</v>
      </c>
      <c r="H471" s="19"/>
      <c r="I471" s="27">
        <f t="shared" si="7"/>
        <v>18.72</v>
      </c>
      <c r="J471" s="20">
        <v>2.2164123846517975E-4</v>
      </c>
      <c r="K471" s="20">
        <v>2.1796618438578948E-4</v>
      </c>
    </row>
    <row r="472" spans="2:11" ht="16.2" x14ac:dyDescent="0.3">
      <c r="B472"/>
      <c r="C472"/>
      <c r="D472" s="19"/>
      <c r="E472" s="27">
        <v>18.760000000000002</v>
      </c>
      <c r="F472" s="20">
        <v>4.4280404076037817E-2</v>
      </c>
      <c r="G472" s="20">
        <v>4.4236788289683103E-2</v>
      </c>
      <c r="H472" s="19"/>
      <c r="I472" s="27">
        <f t="shared" si="7"/>
        <v>18.760000000000002</v>
      </c>
      <c r="J472" s="20">
        <v>2.249537934609358E-4</v>
      </c>
      <c r="K472" s="20">
        <v>2.2124727178444103E-4</v>
      </c>
    </row>
    <row r="473" spans="2:11" ht="16.2" x14ac:dyDescent="0.3">
      <c r="B473"/>
      <c r="C473"/>
      <c r="D473" s="19"/>
      <c r="E473" s="27">
        <v>18.8</v>
      </c>
      <c r="F473" s="20">
        <v>4.4289402227776255E-2</v>
      </c>
      <c r="G473" s="20">
        <v>4.4245704227397327E-2</v>
      </c>
      <c r="H473" s="19"/>
      <c r="I473" s="27">
        <f t="shared" si="7"/>
        <v>18.8</v>
      </c>
      <c r="J473" s="20">
        <v>2.2829205075878406E-4</v>
      </c>
      <c r="K473" s="20">
        <v>2.2455387822529747E-4</v>
      </c>
    </row>
    <row r="474" spans="2:11" ht="16.2" x14ac:dyDescent="0.3">
      <c r="B474"/>
      <c r="C474"/>
      <c r="D474" s="19"/>
      <c r="E474" s="27">
        <v>18.84</v>
      </c>
      <c r="F474" s="20">
        <v>4.4298533909806606E-2</v>
      </c>
      <c r="G474" s="20">
        <v>4.4254752941981945E-2</v>
      </c>
      <c r="H474" s="19"/>
      <c r="I474" s="27">
        <f t="shared" si="7"/>
        <v>18.84</v>
      </c>
      <c r="J474" s="20">
        <v>2.3165614134457169E-4</v>
      </c>
      <c r="K474" s="20">
        <v>2.2788613773606393E-4</v>
      </c>
    </row>
    <row r="475" spans="2:11" ht="16.2" x14ac:dyDescent="0.3">
      <c r="B475"/>
      <c r="C475"/>
      <c r="D475" s="19"/>
      <c r="E475" s="27">
        <v>18.88</v>
      </c>
      <c r="F475" s="20">
        <v>4.4307800155460389E-2</v>
      </c>
      <c r="G475" s="20">
        <v>4.4263935462253927E-2</v>
      </c>
      <c r="H475" s="19"/>
      <c r="I475" s="27">
        <f t="shared" si="7"/>
        <v>18.88</v>
      </c>
      <c r="J475" s="20">
        <v>2.3504621142617088E-4</v>
      </c>
      <c r="K475" s="20">
        <v>2.3124418511971361E-4</v>
      </c>
    </row>
    <row r="476" spans="2:11" ht="16.2" x14ac:dyDescent="0.3">
      <c r="B476"/>
      <c r="C476"/>
      <c r="D476" s="19"/>
      <c r="E476" s="27">
        <v>18.920000000000002</v>
      </c>
      <c r="F476" s="20">
        <v>4.4317202003917436E-2</v>
      </c>
      <c r="G476" s="20">
        <v>4.4273252822437319E-2</v>
      </c>
      <c r="H476" s="19"/>
      <c r="I476" s="27">
        <f t="shared" si="7"/>
        <v>18.920000000000002</v>
      </c>
      <c r="J476" s="20">
        <v>2.3846238661386771E-4</v>
      </c>
      <c r="K476" s="20">
        <v>2.3462815596153564E-4</v>
      </c>
    </row>
    <row r="477" spans="2:11" ht="16.2" x14ac:dyDescent="0.3">
      <c r="B477"/>
      <c r="C477"/>
      <c r="D477" s="19"/>
      <c r="E477" s="27">
        <v>18.96</v>
      </c>
      <c r="F477" s="20">
        <v>4.4326740499381991E-2</v>
      </c>
      <c r="G477" s="20">
        <v>4.4282706062194838E-2</v>
      </c>
      <c r="H477" s="19"/>
      <c r="I477" s="27">
        <f t="shared" si="7"/>
        <v>18.96</v>
      </c>
      <c r="J477" s="20">
        <v>2.4190480990282648E-4</v>
      </c>
      <c r="K477" s="20">
        <v>2.3803818663647953E-4</v>
      </c>
    </row>
    <row r="478" spans="2:11" ht="16.2" x14ac:dyDescent="0.3">
      <c r="B478"/>
      <c r="C478"/>
      <c r="D478" s="19"/>
      <c r="E478" s="27">
        <v>19</v>
      </c>
      <c r="F478" s="20">
        <v>4.4336416691778104E-2</v>
      </c>
      <c r="G478" s="20">
        <v>4.4292296226661185E-2</v>
      </c>
      <c r="H478" s="19"/>
      <c r="I478" s="27">
        <f t="shared" si="7"/>
        <v>19</v>
      </c>
      <c r="J478" s="20">
        <v>2.4537362096274662E-4</v>
      </c>
      <c r="K478" s="20">
        <v>2.414744143167735E-4</v>
      </c>
    </row>
    <row r="479" spans="2:11" ht="16.2" x14ac:dyDescent="0.3">
      <c r="B479"/>
      <c r="C479"/>
      <c r="D479" s="19"/>
      <c r="E479" s="27">
        <v>19.04</v>
      </c>
      <c r="F479" s="20">
        <v>4.4346231636616613E-2</v>
      </c>
      <c r="G479" s="20">
        <v>4.4302024366473326E-2</v>
      </c>
      <c r="H479" s="19"/>
      <c r="I479" s="27">
        <f t="shared" si="7"/>
        <v>19.04</v>
      </c>
      <c r="J479" s="20">
        <v>2.4886895476083915E-4</v>
      </c>
      <c r="K479" s="20">
        <v>2.4493697697930487E-4</v>
      </c>
    </row>
    <row r="480" spans="2:11" ht="16.2" x14ac:dyDescent="0.3">
      <c r="B480"/>
      <c r="C480"/>
      <c r="D480" s="19"/>
      <c r="E480" s="27">
        <v>19.079999999999998</v>
      </c>
      <c r="F480" s="20">
        <v>4.4356186394807047E-2</v>
      </c>
      <c r="G480" s="20">
        <v>4.4311891537803086E-2</v>
      </c>
      <c r="H480" s="19"/>
      <c r="I480" s="27">
        <f t="shared" si="7"/>
        <v>19.079999999999998</v>
      </c>
      <c r="J480" s="20">
        <v>2.5239095353454116E-4</v>
      </c>
      <c r="K480" s="20">
        <v>2.4842601341325097E-4</v>
      </c>
    </row>
    <row r="481" spans="2:11" ht="16.2" x14ac:dyDescent="0.3">
      <c r="B481"/>
      <c r="C481"/>
      <c r="D481" s="19"/>
      <c r="E481" s="27">
        <v>19.12</v>
      </c>
      <c r="F481" s="20">
        <v>4.4366282032948429E-2</v>
      </c>
      <c r="G481" s="20">
        <v>4.4321898802391166E-2</v>
      </c>
      <c r="H481" s="19"/>
      <c r="I481" s="27">
        <f t="shared" si="7"/>
        <v>19.12</v>
      </c>
      <c r="J481" s="20">
        <v>2.5593976159914156E-4</v>
      </c>
      <c r="K481" s="20">
        <v>2.5194166322795361E-4</v>
      </c>
    </row>
    <row r="482" spans="2:11" ht="16.2" x14ac:dyDescent="0.3">
      <c r="B482"/>
      <c r="C482"/>
      <c r="D482" s="19"/>
      <c r="E482" s="27">
        <v>19.16</v>
      </c>
      <c r="F482" s="20">
        <v>4.4376519623412394E-2</v>
      </c>
      <c r="G482" s="20">
        <v>4.4332047227578206E-2</v>
      </c>
      <c r="H482" s="19"/>
      <c r="I482" s="27">
        <f t="shared" si="7"/>
        <v>19.16</v>
      </c>
      <c r="J482" s="20">
        <v>2.595155104341898E-4</v>
      </c>
      <c r="K482" s="20">
        <v>2.5548406686052763E-4</v>
      </c>
    </row>
    <row r="483" spans="2:11" ht="16.2" x14ac:dyDescent="0.3">
      <c r="B483"/>
      <c r="C483"/>
      <c r="D483" s="19"/>
      <c r="E483" s="27">
        <v>19.2</v>
      </c>
      <c r="F483" s="20">
        <v>4.4386900243829762E-2</v>
      </c>
      <c r="G483" s="20">
        <v>4.4342337886340656E-2</v>
      </c>
      <c r="H483" s="19"/>
      <c r="I483" s="27">
        <f t="shared" si="7"/>
        <v>19.2</v>
      </c>
      <c r="J483" s="20">
        <v>2.6311835387860666E-4</v>
      </c>
      <c r="K483" s="20">
        <v>2.5905336558403567E-4</v>
      </c>
    </row>
    <row r="484" spans="2:11" ht="16.2" x14ac:dyDescent="0.3">
      <c r="B484"/>
      <c r="C484"/>
      <c r="D484" s="19"/>
      <c r="E484" s="27">
        <v>19.239999999999998</v>
      </c>
      <c r="F484" s="20">
        <v>4.4397424977984906E-2</v>
      </c>
      <c r="G484" s="20">
        <v>4.4352771857320825E-2</v>
      </c>
      <c r="H484" s="19"/>
      <c r="I484" s="27">
        <f t="shared" si="7"/>
        <v>19.239999999999998</v>
      </c>
      <c r="J484" s="20">
        <v>2.6674843013139299E-4</v>
      </c>
      <c r="K484" s="20">
        <v>2.6264970151517814E-4</v>
      </c>
    </row>
    <row r="485" spans="2:11" ht="16.2" x14ac:dyDescent="0.3">
      <c r="B485"/>
      <c r="C485"/>
      <c r="D485" s="19"/>
      <c r="E485" s="27">
        <v>19.28</v>
      </c>
      <c r="F485" s="20">
        <v>4.4408094915190162E-2</v>
      </c>
      <c r="G485" s="20">
        <v>4.4363350224863901E-2</v>
      </c>
      <c r="H485" s="19"/>
      <c r="I485" s="27">
        <f t="shared" si="7"/>
        <v>19.28</v>
      </c>
      <c r="J485" s="20">
        <v>2.7040588188205483E-4</v>
      </c>
      <c r="K485" s="20">
        <v>2.662732176226246E-4</v>
      </c>
    </row>
    <row r="486" spans="2:11" ht="16.2" x14ac:dyDescent="0.3">
      <c r="B486"/>
      <c r="C486"/>
      <c r="D486" s="19"/>
      <c r="E486" s="27">
        <v>19.32</v>
      </c>
      <c r="F486" s="20">
        <v>4.4418911150465444E-2</v>
      </c>
      <c r="G486" s="20">
        <v>4.43740740790503E-2</v>
      </c>
      <c r="H486" s="19"/>
      <c r="I486" s="27">
        <f t="shared" si="7"/>
        <v>19.32</v>
      </c>
      <c r="J486" s="20">
        <v>2.7409085486592571E-4</v>
      </c>
      <c r="K486" s="20">
        <v>2.6992405773517103E-4</v>
      </c>
    </row>
    <row r="487" spans="2:11" ht="16.2" x14ac:dyDescent="0.3">
      <c r="B487"/>
      <c r="C487"/>
      <c r="D487" s="19"/>
      <c r="E487" s="27">
        <v>19.36</v>
      </c>
      <c r="F487" s="20">
        <v>4.4429874784660081E-2</v>
      </c>
      <c r="G487" s="20">
        <v>4.4384944515731516E-2</v>
      </c>
      <c r="H487" s="19"/>
      <c r="I487" s="27">
        <f t="shared" si="7"/>
        <v>19.36</v>
      </c>
      <c r="J487" s="20">
        <v>2.7780350090687161E-4</v>
      </c>
      <c r="K487" s="20">
        <v>2.7360236654991852E-4</v>
      </c>
    </row>
    <row r="488" spans="2:11" ht="16.2" x14ac:dyDescent="0.3">
      <c r="B488"/>
      <c r="C488"/>
      <c r="D488" s="19"/>
      <c r="E488" s="27">
        <v>19.399999999999999</v>
      </c>
      <c r="F488" s="20">
        <v>4.4440986924696356E-2</v>
      </c>
      <c r="G488" s="20">
        <v>4.4395962636564514E-2</v>
      </c>
      <c r="H488" s="19"/>
      <c r="I488" s="27">
        <f t="shared" si="7"/>
        <v>19.399999999999999</v>
      </c>
      <c r="J488" s="20">
        <v>2.8154395700710766E-4</v>
      </c>
      <c r="K488" s="20">
        <v>2.7730828964088336E-4</v>
      </c>
    </row>
    <row r="489" spans="2:11" ht="16.2" x14ac:dyDescent="0.3">
      <c r="B489"/>
      <c r="C489"/>
      <c r="D489" s="19"/>
      <c r="E489" s="27">
        <v>19.440000000000001</v>
      </c>
      <c r="F489" s="20">
        <v>4.445224868297664E-2</v>
      </c>
      <c r="G489" s="20">
        <v>4.4407129549045528E-2</v>
      </c>
      <c r="H489" s="19"/>
      <c r="I489" s="27">
        <f t="shared" si="7"/>
        <v>19.440000000000001</v>
      </c>
      <c r="J489" s="20">
        <v>2.8531237923450081E-4</v>
      </c>
      <c r="K489" s="20">
        <v>2.8104197346718473E-4</v>
      </c>
    </row>
    <row r="490" spans="2:11" ht="16.2" x14ac:dyDescent="0.3">
      <c r="B490"/>
      <c r="C490"/>
      <c r="D490" s="19"/>
      <c r="E490" s="27">
        <v>19.48</v>
      </c>
      <c r="F490" s="20">
        <v>4.446366117814602E-2</v>
      </c>
      <c r="G490" s="20">
        <v>4.4418446366549021E-2</v>
      </c>
      <c r="H490" s="19"/>
      <c r="I490" s="27">
        <f t="shared" si="7"/>
        <v>19.48</v>
      </c>
      <c r="J490" s="20">
        <v>2.89108913230883E-4</v>
      </c>
      <c r="K490" s="20">
        <v>2.848035653820961E-4</v>
      </c>
    </row>
    <row r="491" spans="2:11" ht="16.2" x14ac:dyDescent="0.3">
      <c r="B491"/>
      <c r="C491"/>
      <c r="D491" s="19"/>
      <c r="E491" s="27">
        <v>19.52</v>
      </c>
      <c r="F491" s="20">
        <v>4.4475225534675256E-2</v>
      </c>
      <c r="G491" s="20">
        <v>4.442991420836017E-2</v>
      </c>
      <c r="H491" s="19"/>
      <c r="I491" s="27">
        <f t="shared" si="7"/>
        <v>19.52</v>
      </c>
      <c r="J491" s="20">
        <v>2.929337031736326E-4</v>
      </c>
      <c r="K491" s="20">
        <v>2.8859321364129635E-4</v>
      </c>
    </row>
    <row r="492" spans="2:11" ht="16.2" x14ac:dyDescent="0.3">
      <c r="B492"/>
      <c r="C492"/>
      <c r="D492" s="19"/>
      <c r="E492" s="27">
        <v>19.559999999999999</v>
      </c>
      <c r="F492" s="20">
        <v>4.4486942882802201E-2</v>
      </c>
      <c r="G492" s="20">
        <v>4.4441534199713334E-2</v>
      </c>
      <c r="H492" s="19"/>
      <c r="I492" s="27">
        <f t="shared" si="7"/>
        <v>19.559999999999999</v>
      </c>
      <c r="J492" s="20">
        <v>2.9678690972069488E-4</v>
      </c>
      <c r="K492" s="20">
        <v>2.9241106741199224E-4</v>
      </c>
    </row>
    <row r="493" spans="2:11" ht="16.2" x14ac:dyDescent="0.3">
      <c r="B493"/>
      <c r="C493"/>
      <c r="D493" s="19"/>
      <c r="E493" s="27">
        <v>19.600000000000001</v>
      </c>
      <c r="F493" s="20">
        <v>4.4498814359191029E-2</v>
      </c>
      <c r="G493" s="20">
        <v>4.445330747182779E-2</v>
      </c>
      <c r="H493" s="19"/>
      <c r="I493" s="27">
        <f t="shared" si="7"/>
        <v>19.600000000000001</v>
      </c>
      <c r="J493" s="20">
        <v>3.0066867823235616E-4</v>
      </c>
      <c r="K493" s="20">
        <v>2.9625727678161994E-4</v>
      </c>
    </row>
    <row r="494" spans="2:11" ht="16.2" x14ac:dyDescent="0.3">
      <c r="B494"/>
      <c r="C494"/>
      <c r="D494" s="19"/>
      <c r="E494" s="27">
        <v>19.64</v>
      </c>
      <c r="F494" s="20">
        <v>4.4510841106320323E-2</v>
      </c>
      <c r="G494" s="20">
        <v>4.4465235161943797E-2</v>
      </c>
      <c r="H494" s="19"/>
      <c r="I494" s="27">
        <f t="shared" si="7"/>
        <v>19.64</v>
      </c>
      <c r="J494" s="20">
        <v>3.0457916341732755E-4</v>
      </c>
      <c r="K494" s="20">
        <v>3.001319927670214E-4</v>
      </c>
    </row>
    <row r="495" spans="2:11" ht="16.2" x14ac:dyDescent="0.3">
      <c r="B495"/>
      <c r="C495"/>
      <c r="D495" s="19"/>
      <c r="E495" s="27">
        <v>19.68</v>
      </c>
      <c r="F495" s="20">
        <v>4.4523024272857016E-2</v>
      </c>
      <c r="G495" s="20">
        <v>4.4477318413362416E-2</v>
      </c>
      <c r="H495" s="19"/>
      <c r="I495" s="27">
        <f t="shared" si="7"/>
        <v>19.68</v>
      </c>
      <c r="J495" s="20">
        <v>3.085185133130941E-4</v>
      </c>
      <c r="K495" s="20">
        <v>3.0403536732356005E-4</v>
      </c>
    </row>
    <row r="496" spans="2:11" ht="16.2" x14ac:dyDescent="0.3">
      <c r="B496"/>
      <c r="C496"/>
      <c r="D496" s="19"/>
      <c r="E496" s="27">
        <v>19.72</v>
      </c>
      <c r="F496" s="20">
        <v>4.453536501338954E-2</v>
      </c>
      <c r="G496" s="20">
        <v>4.448955837548213E-2</v>
      </c>
      <c r="H496" s="19"/>
      <c r="I496" s="27">
        <f t="shared" si="7"/>
        <v>19.72</v>
      </c>
      <c r="J496" s="20">
        <v>3.1248688771474964E-4</v>
      </c>
      <c r="K496" s="20">
        <v>3.079675533543835E-4</v>
      </c>
    </row>
    <row r="497" spans="2:11" ht="16.2" x14ac:dyDescent="0.3">
      <c r="B497"/>
      <c r="C497"/>
      <c r="D497" s="19"/>
      <c r="E497" s="27">
        <v>19.760000000000002</v>
      </c>
      <c r="F497" s="20">
        <v>4.454786448889813E-2</v>
      </c>
      <c r="G497" s="20">
        <v>4.4501956203835145E-2</v>
      </c>
      <c r="H497" s="19"/>
      <c r="I497" s="27">
        <f t="shared" si="7"/>
        <v>19.760000000000002</v>
      </c>
      <c r="J497" s="20">
        <v>3.1648443881201332E-4</v>
      </c>
      <c r="K497" s="20">
        <v>3.1192870471966468E-4</v>
      </c>
    </row>
    <row r="498" spans="2:11" ht="16.2" x14ac:dyDescent="0.3">
      <c r="B498"/>
      <c r="C498"/>
      <c r="D498" s="19"/>
      <c r="E498" s="27">
        <v>19.8</v>
      </c>
      <c r="F498" s="20">
        <v>4.456052386645061E-2</v>
      </c>
      <c r="G498" s="20">
        <v>4.4514513060128096E-2</v>
      </c>
      <c r="H498" s="19"/>
      <c r="I498" s="27">
        <f t="shared" si="7"/>
        <v>19.8</v>
      </c>
      <c r="J498" s="20">
        <v>3.2051132985554814E-4</v>
      </c>
      <c r="K498" s="20">
        <v>3.159189762460464E-4</v>
      </c>
    </row>
    <row r="499" spans="2:11" ht="16.2" x14ac:dyDescent="0.3">
      <c r="B499"/>
      <c r="C499"/>
      <c r="D499" s="19"/>
      <c r="E499" s="27">
        <v>19.84</v>
      </c>
      <c r="F499" s="20">
        <v>4.4573344319644832E-2</v>
      </c>
      <c r="G499" s="20">
        <v>4.4527230112280512E-2</v>
      </c>
      <c r="H499" s="19"/>
      <c r="I499" s="27">
        <f t="shared" si="7"/>
        <v>19.84</v>
      </c>
      <c r="J499" s="20">
        <v>3.2456770670419993E-4</v>
      </c>
      <c r="K499" s="20">
        <v>3.199385237365799E-4</v>
      </c>
    </row>
    <row r="500" spans="2:11" ht="16.2" x14ac:dyDescent="0.3">
      <c r="B500"/>
      <c r="C500"/>
      <c r="D500" s="19"/>
      <c r="E500" s="27">
        <v>19.88</v>
      </c>
      <c r="F500" s="20">
        <v>4.4586327027913E-2</v>
      </c>
      <c r="G500" s="20">
        <v>4.4540108534463295E-2</v>
      </c>
      <c r="H500" s="19"/>
      <c r="I500" s="27">
        <f t="shared" si="7"/>
        <v>19.88</v>
      </c>
      <c r="J500" s="20">
        <v>3.2865373353705568E-4</v>
      </c>
      <c r="K500" s="20">
        <v>3.2398750397998874E-4</v>
      </c>
    </row>
    <row r="501" spans="2:11" ht="16.2" x14ac:dyDescent="0.3">
      <c r="B501"/>
      <c r="C501"/>
      <c r="D501" s="19"/>
      <c r="E501" s="27">
        <v>19.920000000000002</v>
      </c>
      <c r="F501" s="20">
        <v>4.4599473177254483E-2</v>
      </c>
      <c r="G501" s="20">
        <v>4.4553149507139032E-2</v>
      </c>
      <c r="H501" s="19"/>
      <c r="I501" s="27">
        <f t="shared" si="7"/>
        <v>19.920000000000002</v>
      </c>
      <c r="J501" s="20">
        <v>3.3276957456061101E-4</v>
      </c>
      <c r="K501" s="20">
        <v>3.2806607476075424E-4</v>
      </c>
    </row>
    <row r="502" spans="2:11" ht="16.2" x14ac:dyDescent="0.3">
      <c r="B502"/>
      <c r="C502"/>
      <c r="D502" s="19"/>
      <c r="E502" s="27">
        <v>19.96</v>
      </c>
      <c r="F502" s="20">
        <v>4.4612783960236907E-2</v>
      </c>
      <c r="G502" s="20">
        <v>4.4566354217101242E-2</v>
      </c>
      <c r="H502" s="19"/>
      <c r="I502" s="27">
        <f t="shared" si="7"/>
        <v>19.96</v>
      </c>
      <c r="J502" s="20">
        <v>3.3691537725602516E-4</v>
      </c>
      <c r="K502" s="20">
        <v>3.3217439486890252E-4</v>
      </c>
    </row>
    <row r="503" spans="2:11" ht="16.2" x14ac:dyDescent="0.3">
      <c r="B503"/>
      <c r="C503"/>
      <c r="D503" s="19"/>
      <c r="E503" s="27">
        <v>20</v>
      </c>
      <c r="F503" s="20">
        <v>4.4626260575327148E-2</v>
      </c>
      <c r="G503" s="20">
        <v>4.4579723857516525E-2</v>
      </c>
      <c r="H503" s="19"/>
      <c r="I503" s="27">
        <f t="shared" si="7"/>
        <v>20</v>
      </c>
      <c r="J503" s="20">
        <v>3.4109131451711544E-4</v>
      </c>
      <c r="K503" s="20">
        <v>3.363126241102585E-4</v>
      </c>
    </row>
    <row r="504" spans="2:11" ht="16.2" x14ac:dyDescent="0.3">
      <c r="B504"/>
      <c r="C504"/>
      <c r="D504" s="19"/>
      <c r="E504" s="27">
        <v>20.04</v>
      </c>
      <c r="F504" s="20">
        <v>4.4639904227907833E-2</v>
      </c>
      <c r="G504" s="20">
        <v>4.4593259627962629E-2</v>
      </c>
      <c r="H504" s="19"/>
      <c r="I504" s="27">
        <f t="shared" si="7"/>
        <v>20.04</v>
      </c>
      <c r="J504" s="20">
        <v>3.4529754833426823E-4</v>
      </c>
      <c r="K504" s="20">
        <v>3.404809233163788E-4</v>
      </c>
    </row>
    <row r="505" spans="2:11" ht="16.2" x14ac:dyDescent="0.3">
      <c r="B505"/>
      <c r="C505"/>
      <c r="D505" s="19"/>
      <c r="E505" s="27">
        <v>20.079999999999998</v>
      </c>
      <c r="F505" s="20">
        <v>4.4653716129841203E-2</v>
      </c>
      <c r="G505" s="20">
        <v>4.4606962734472545E-2</v>
      </c>
      <c r="H505" s="19"/>
      <c r="I505" s="27">
        <f t="shared" si="7"/>
        <v>20.079999999999998</v>
      </c>
      <c r="J505" s="20">
        <v>3.4953423106807296E-4</v>
      </c>
      <c r="K505" s="20">
        <v>3.4467945435508705E-4</v>
      </c>
    </row>
    <row r="506" spans="2:11" ht="16.2" x14ac:dyDescent="0.3">
      <c r="B506"/>
      <c r="C506"/>
      <c r="D506" s="19"/>
      <c r="E506" s="27">
        <v>20.12</v>
      </c>
      <c r="F506" s="20">
        <v>4.4667697499083926E-2</v>
      </c>
      <c r="G506" s="20">
        <v>4.4620834389573892E-2</v>
      </c>
      <c r="H506" s="19"/>
      <c r="I506" s="27">
        <f t="shared" si="7"/>
        <v>20.12</v>
      </c>
      <c r="J506" s="20">
        <v>3.5380153451947116E-4</v>
      </c>
      <c r="K506" s="20">
        <v>3.4890838014070482E-4</v>
      </c>
    </row>
    <row r="507" spans="2:11" ht="16.2" x14ac:dyDescent="0.3">
      <c r="B507"/>
      <c r="C507"/>
      <c r="D507" s="19"/>
      <c r="E507" s="27">
        <v>20.16</v>
      </c>
      <c r="F507" s="20">
        <v>4.4681849560464705E-2</v>
      </c>
      <c r="G507" s="20">
        <v>4.4634875812333046E-2</v>
      </c>
      <c r="H507" s="19"/>
      <c r="I507" s="27">
        <f t="shared" si="7"/>
        <v>20.16</v>
      </c>
      <c r="J507" s="20">
        <v>3.5809963076869483E-4</v>
      </c>
      <c r="K507" s="20">
        <v>3.5316786464487408E-4</v>
      </c>
    </row>
    <row r="508" spans="2:11" ht="16.2" x14ac:dyDescent="0.3">
      <c r="B508"/>
      <c r="C508"/>
      <c r="D508" s="19"/>
      <c r="E508" s="27">
        <v>20.2</v>
      </c>
      <c r="F508" s="20">
        <v>4.4696173545695453E-2</v>
      </c>
      <c r="G508" s="20">
        <v>4.4649088228395237E-2</v>
      </c>
      <c r="H508" s="19"/>
      <c r="I508" s="27">
        <f t="shared" si="7"/>
        <v>20.2</v>
      </c>
      <c r="J508" s="20">
        <v>3.6242867387584199E-4</v>
      </c>
      <c r="K508" s="20">
        <v>3.5745807290685233E-4</v>
      </c>
    </row>
    <row r="509" spans="2:11" ht="16.2" x14ac:dyDescent="0.3">
      <c r="B509"/>
      <c r="C509"/>
      <c r="D509" s="19"/>
      <c r="E509" s="27">
        <v>20.239999999999998</v>
      </c>
      <c r="F509" s="20">
        <v>4.4710670692650487E-2</v>
      </c>
      <c r="G509" s="20">
        <v>4.4663472870029572E-2</v>
      </c>
      <c r="H509" s="19"/>
      <c r="I509" s="27">
        <f t="shared" si="7"/>
        <v>20.239999999999998</v>
      </c>
      <c r="J509" s="20">
        <v>3.6678884306074605E-4</v>
      </c>
      <c r="K509" s="20">
        <v>3.6177917104468911E-4</v>
      </c>
    </row>
    <row r="510" spans="2:11" ht="16.2" x14ac:dyDescent="0.3">
      <c r="B510"/>
      <c r="C510"/>
      <c r="D510" s="19"/>
      <c r="E510" s="27">
        <v>20.28</v>
      </c>
      <c r="F510" s="20">
        <v>4.4725342246372916E-2</v>
      </c>
      <c r="G510" s="20">
        <v>4.4678030976172636E-2</v>
      </c>
      <c r="H510" s="19"/>
      <c r="I510" s="27">
        <f t="shared" si="7"/>
        <v>20.28</v>
      </c>
      <c r="J510" s="20">
        <v>3.7118028746972731E-4</v>
      </c>
      <c r="K510" s="20">
        <v>3.6613132626609992E-4</v>
      </c>
    </row>
    <row r="511" spans="2:11" ht="16.2" x14ac:dyDescent="0.3">
      <c r="B511"/>
      <c r="C511"/>
      <c r="D511" s="19"/>
      <c r="E511" s="27">
        <v>20.32</v>
      </c>
      <c r="F511" s="20">
        <v>4.4740189457871705E-2</v>
      </c>
      <c r="G511" s="20">
        <v>4.4692763792469316E-2</v>
      </c>
      <c r="H511" s="19"/>
      <c r="I511" s="27">
        <f t="shared" si="7"/>
        <v>20.32</v>
      </c>
      <c r="J511" s="20">
        <v>3.7560321016118919E-4</v>
      </c>
      <c r="K511" s="20">
        <v>3.7051470687935237E-4</v>
      </c>
    </row>
    <row r="512" spans="2:11" ht="16.2" x14ac:dyDescent="0.3">
      <c r="B512"/>
      <c r="C512"/>
      <c r="D512" s="19"/>
      <c r="E512" s="27">
        <v>20.36</v>
      </c>
      <c r="F512" s="20">
        <v>4.4755213586278153E-2</v>
      </c>
      <c r="G512" s="20">
        <v>4.470767257131978E-2</v>
      </c>
      <c r="H512" s="19"/>
      <c r="I512" s="27">
        <f t="shared" si="7"/>
        <v>20.36</v>
      </c>
      <c r="J512" s="20">
        <v>3.8005775026134225E-4</v>
      </c>
      <c r="K512" s="20">
        <v>3.7492948230465929E-4</v>
      </c>
    </row>
    <row r="513" spans="2:11" ht="16.2" x14ac:dyDescent="0.3">
      <c r="B513"/>
      <c r="C513"/>
      <c r="D513" s="19"/>
      <c r="E513" s="27">
        <v>20.399999999999999</v>
      </c>
      <c r="F513" s="20">
        <v>4.4770415896288607E-2</v>
      </c>
      <c r="G513" s="20">
        <v>4.4722758571924565E-2</v>
      </c>
      <c r="H513" s="19"/>
      <c r="I513" s="27">
        <f t="shared" si="7"/>
        <v>20.399999999999999</v>
      </c>
      <c r="J513" s="20">
        <v>3.8454409372560422E-4</v>
      </c>
      <c r="K513" s="20">
        <v>3.7937582308558503E-4</v>
      </c>
    </row>
    <row r="514" spans="2:11" ht="16.2" x14ac:dyDescent="0.3">
      <c r="B514"/>
      <c r="C514"/>
      <c r="D514" s="19"/>
      <c r="E514" s="27">
        <v>20.440000000000001</v>
      </c>
      <c r="F514" s="20">
        <v>4.4785797660037631E-2</v>
      </c>
      <c r="G514" s="20">
        <v>4.473802306032653E-2</v>
      </c>
      <c r="H514" s="19"/>
      <c r="I514" s="27">
        <f t="shared" si="7"/>
        <v>20.440000000000001</v>
      </c>
      <c r="J514" s="20">
        <v>3.8906241596262103E-4</v>
      </c>
      <c r="K514" s="20">
        <v>3.8385390090022484E-4</v>
      </c>
    </row>
    <row r="515" spans="2:11" ht="16.2" x14ac:dyDescent="0.3">
      <c r="B515"/>
      <c r="C515"/>
      <c r="D515" s="19"/>
      <c r="E515" s="27">
        <v>20.48</v>
      </c>
      <c r="F515" s="20">
        <v>4.4801360156676136E-2</v>
      </c>
      <c r="G515" s="20">
        <v>4.4753467309460851E-2</v>
      </c>
      <c r="H515" s="19"/>
      <c r="I515" s="27">
        <f t="shared" si="7"/>
        <v>20.48</v>
      </c>
      <c r="J515" s="20">
        <v>3.936128845615991E-4</v>
      </c>
      <c r="K515" s="20">
        <v>3.8836388857326046E-4</v>
      </c>
    </row>
    <row r="516" spans="2:11" ht="16.2" x14ac:dyDescent="0.3">
      <c r="B516"/>
      <c r="C516"/>
      <c r="D516" s="19"/>
      <c r="E516" s="27">
        <v>20.52</v>
      </c>
      <c r="F516" s="20">
        <v>4.48171046720586E-2</v>
      </c>
      <c r="G516" s="20">
        <v>4.4769092599196675E-2</v>
      </c>
      <c r="H516" s="19"/>
      <c r="I516" s="27">
        <f t="shared" ref="I516:I579" si="8">IF(E516&lt;&gt;"",E516,"")</f>
        <v>20.52</v>
      </c>
      <c r="J516" s="20">
        <v>3.9819568451310294E-4</v>
      </c>
      <c r="K516" s="20">
        <v>3.9290596008742279E-4</v>
      </c>
    </row>
    <row r="517" spans="2:11" ht="16.2" x14ac:dyDescent="0.3">
      <c r="B517"/>
      <c r="C517"/>
      <c r="D517" s="19"/>
      <c r="E517" s="27">
        <v>20.56</v>
      </c>
      <c r="F517" s="20">
        <v>4.4833032499439124E-2</v>
      </c>
      <c r="G517" s="20">
        <v>4.4784900216386883E-2</v>
      </c>
      <c r="H517" s="19"/>
      <c r="I517" s="27">
        <f t="shared" si="8"/>
        <v>20.56</v>
      </c>
      <c r="J517" s="20">
        <v>4.0281097638105584E-4</v>
      </c>
      <c r="K517" s="20">
        <v>3.9748029059552575E-4</v>
      </c>
    </row>
    <row r="518" spans="2:11" ht="16.2" x14ac:dyDescent="0.3">
      <c r="B518"/>
      <c r="C518"/>
      <c r="D518" s="19"/>
      <c r="E518" s="27">
        <v>20.6</v>
      </c>
      <c r="F518" s="20">
        <v>4.4849144938494366E-2</v>
      </c>
      <c r="G518" s="20">
        <v>4.4800891454915087E-2</v>
      </c>
      <c r="H518" s="19"/>
      <c r="I518" s="27">
        <f t="shared" si="8"/>
        <v>20.6</v>
      </c>
      <c r="J518" s="20">
        <v>4.0745896133041054E-4</v>
      </c>
      <c r="K518" s="20">
        <v>4.0208705643264624E-4</v>
      </c>
    </row>
    <row r="519" spans="2:11" ht="16.2" x14ac:dyDescent="0.3">
      <c r="B519"/>
      <c r="C519"/>
      <c r="D519" s="19"/>
      <c r="E519" s="27">
        <v>20.64</v>
      </c>
      <c r="F519" s="20">
        <v>4.4865443296947582E-2</v>
      </c>
      <c r="G519" s="20">
        <v>4.4817067615739156E-2</v>
      </c>
      <c r="H519" s="19"/>
      <c r="I519" s="27">
        <f t="shared" si="8"/>
        <v>20.64</v>
      </c>
      <c r="J519" s="20">
        <v>4.121397944404151E-4</v>
      </c>
      <c r="K519" s="20">
        <v>4.0672643512783008E-4</v>
      </c>
    </row>
    <row r="520" spans="2:11" ht="16.2" x14ac:dyDescent="0.3">
      <c r="B520"/>
      <c r="C520"/>
      <c r="D520" s="19"/>
      <c r="E520" s="27">
        <v>20.68</v>
      </c>
      <c r="F520" s="20">
        <v>4.4881928888725199E-2</v>
      </c>
      <c r="G520" s="20">
        <v>4.4833430006945819E-2</v>
      </c>
      <c r="H520" s="19"/>
      <c r="I520" s="27">
        <f t="shared" si="8"/>
        <v>20.68</v>
      </c>
      <c r="J520" s="20">
        <v>4.1685367466702539E-4</v>
      </c>
      <c r="K520" s="20">
        <v>4.1139860541730922E-4</v>
      </c>
    </row>
    <row r="521" spans="2:11" ht="16.2" x14ac:dyDescent="0.3">
      <c r="B521"/>
      <c r="C521"/>
      <c r="D521" s="19"/>
      <c r="E521" s="27">
        <v>20.72</v>
      </c>
      <c r="F521" s="20">
        <v>4.489860303571188E-2</v>
      </c>
      <c r="G521" s="20">
        <v>4.4849979943792806E-2</v>
      </c>
      <c r="H521" s="19"/>
      <c r="I521" s="27">
        <f t="shared" si="8"/>
        <v>20.72</v>
      </c>
      <c r="J521" s="20">
        <v>4.2160077650937183E-4</v>
      </c>
      <c r="K521" s="20">
        <v>4.1610374725618697E-4</v>
      </c>
    </row>
    <row r="522" spans="2:11" ht="16.2" x14ac:dyDescent="0.3">
      <c r="B522"/>
      <c r="C522"/>
      <c r="D522" s="19"/>
      <c r="E522" s="27">
        <v>20.76</v>
      </c>
      <c r="F522" s="20">
        <v>4.4915467066772255E-2</v>
      </c>
      <c r="G522" s="20">
        <v>4.4866718748762038E-2</v>
      </c>
      <c r="H522" s="19"/>
      <c r="I522" s="27">
        <f t="shared" si="8"/>
        <v>20.76</v>
      </c>
      <c r="J522" s="20">
        <v>4.2638128101984973E-4</v>
      </c>
      <c r="K522" s="20">
        <v>4.2084204183158534E-4</v>
      </c>
    </row>
    <row r="523" spans="2:11" ht="16.2" x14ac:dyDescent="0.3">
      <c r="B523"/>
      <c r="C523"/>
      <c r="D523" s="19"/>
      <c r="E523" s="27">
        <v>20.8</v>
      </c>
      <c r="F523" s="20">
        <v>4.4932522318013049E-2</v>
      </c>
      <c r="G523" s="20">
        <v>4.4883647751607629E-2</v>
      </c>
      <c r="H523" s="19"/>
      <c r="I523" s="27">
        <f t="shared" si="8"/>
        <v>20.8</v>
      </c>
      <c r="J523" s="20">
        <v>4.3119537438025823E-4</v>
      </c>
      <c r="K523" s="20">
        <v>4.256136715753024E-4</v>
      </c>
    </row>
    <row r="524" spans="2:11" ht="16.2" x14ac:dyDescent="0.3">
      <c r="B524"/>
      <c r="C524"/>
      <c r="D524" s="19"/>
      <c r="E524" s="27">
        <v>20.84</v>
      </c>
      <c r="F524" s="20">
        <v>4.4949770132988259E-2</v>
      </c>
      <c r="G524" s="20">
        <v>4.4900768289405348E-2</v>
      </c>
      <c r="H524" s="19"/>
      <c r="I524" s="27">
        <f t="shared" si="8"/>
        <v>20.84</v>
      </c>
      <c r="J524" s="20">
        <v>4.3604324566712954E-4</v>
      </c>
      <c r="K524" s="20">
        <v>4.3041882017676327E-4</v>
      </c>
    </row>
    <row r="525" spans="2:11" ht="16.2" x14ac:dyDescent="0.3">
      <c r="B525"/>
      <c r="C525"/>
      <c r="D525" s="19"/>
      <c r="E525" s="27">
        <v>20.88</v>
      </c>
      <c r="F525" s="20">
        <v>4.4967211862814944E-2</v>
      </c>
      <c r="G525" s="20">
        <v>4.4918081706605335E-2</v>
      </c>
      <c r="H525" s="19"/>
      <c r="I525" s="27">
        <f t="shared" si="8"/>
        <v>20.88</v>
      </c>
      <c r="J525" s="20">
        <v>4.4092506916535573E-4</v>
      </c>
      <c r="K525" s="20">
        <v>4.3525767259632595E-4</v>
      </c>
    </row>
    <row r="526" spans="2:11" ht="16.2" x14ac:dyDescent="0.3">
      <c r="B526"/>
      <c r="C526"/>
      <c r="D526" s="19"/>
      <c r="E526" s="27">
        <v>20.92</v>
      </c>
      <c r="F526" s="20">
        <v>4.4984848865581559E-2</v>
      </c>
      <c r="G526" s="20">
        <v>4.4935589355080116E-2</v>
      </c>
      <c r="H526" s="19"/>
      <c r="I526" s="27">
        <f t="shared" si="8"/>
        <v>20.92</v>
      </c>
      <c r="J526" s="20">
        <v>4.4584105351984371E-4</v>
      </c>
      <c r="K526" s="20">
        <v>4.4013041507832989E-4</v>
      </c>
    </row>
    <row r="527" spans="2:11" ht="16.2" x14ac:dyDescent="0.3">
      <c r="B527"/>
      <c r="C527"/>
      <c r="D527" s="19"/>
      <c r="E527" s="27">
        <v>20.96</v>
      </c>
      <c r="F527" s="20">
        <v>4.5002682507722352E-2</v>
      </c>
      <c r="G527" s="20">
        <v>4.4953292594179482E-2</v>
      </c>
      <c r="H527" s="19"/>
      <c r="I527" s="27">
        <f t="shared" si="8"/>
        <v>20.96</v>
      </c>
      <c r="J527" s="20">
        <v>4.5079136844986684E-4</v>
      </c>
      <c r="K527" s="20">
        <v>4.4503723516478827E-4</v>
      </c>
    </row>
    <row r="528" spans="2:11" ht="16.2" x14ac:dyDescent="0.3">
      <c r="B528"/>
      <c r="C528"/>
      <c r="D528" s="19"/>
      <c r="E528" s="27">
        <v>21</v>
      </c>
      <c r="F528" s="20">
        <v>4.5020714162460347E-2</v>
      </c>
      <c r="G528" s="20">
        <v>4.4971192790779248E-2</v>
      </c>
      <c r="H528" s="19"/>
      <c r="I528" s="27">
        <f t="shared" si="8"/>
        <v>21</v>
      </c>
      <c r="J528" s="20">
        <v>4.5577621884049235E-4</v>
      </c>
      <c r="K528" s="20">
        <v>4.4997832170875325E-4</v>
      </c>
    </row>
    <row r="529" spans="2:11" ht="16.2" x14ac:dyDescent="0.3">
      <c r="B529"/>
      <c r="C529"/>
      <c r="D529" s="19"/>
      <c r="E529" s="27">
        <v>21.04</v>
      </c>
      <c r="F529" s="20">
        <v>4.5038945211213967E-2</v>
      </c>
      <c r="G529" s="20">
        <v>4.4989291319337064E-2</v>
      </c>
      <c r="H529" s="19"/>
      <c r="I529" s="27">
        <f t="shared" si="8"/>
        <v>21.04</v>
      </c>
      <c r="J529" s="20">
        <v>4.6079578730710141E-4</v>
      </c>
      <c r="K529" s="20">
        <v>4.5495386488849548E-4</v>
      </c>
    </row>
    <row r="530" spans="2:11" ht="16.2" x14ac:dyDescent="0.3">
      <c r="B530"/>
      <c r="C530"/>
      <c r="D530" s="19"/>
      <c r="E530" s="27">
        <v>21.08</v>
      </c>
      <c r="F530" s="20">
        <v>4.5057377042706251E-2</v>
      </c>
      <c r="G530" s="20">
        <v>4.5007589561944866E-2</v>
      </c>
      <c r="H530" s="19"/>
      <c r="I530" s="27">
        <f t="shared" si="8"/>
        <v>21.08</v>
      </c>
      <c r="J530" s="20">
        <v>4.6585026718479888E-4</v>
      </c>
      <c r="K530" s="20">
        <v>4.5996405622109488E-4</v>
      </c>
    </row>
    <row r="531" spans="2:11" ht="16.2" x14ac:dyDescent="0.3">
      <c r="B531"/>
      <c r="C531"/>
      <c r="D531" s="19"/>
      <c r="E531" s="27">
        <v>21.12</v>
      </c>
      <c r="F531" s="20">
        <v>4.5076011053393643E-2</v>
      </c>
      <c r="G531" s="20">
        <v>4.5026088908381466E-2</v>
      </c>
      <c r="H531" s="19"/>
      <c r="I531" s="27">
        <f t="shared" si="8"/>
        <v>21.12</v>
      </c>
      <c r="J531" s="20">
        <v>4.7093986636909113E-4</v>
      </c>
      <c r="K531" s="20">
        <v>4.6500908857678843E-4</v>
      </c>
    </row>
    <row r="532" spans="2:11" ht="16.2" x14ac:dyDescent="0.3">
      <c r="B532"/>
      <c r="C532"/>
      <c r="D532" s="19"/>
      <c r="E532" s="27">
        <v>21.16</v>
      </c>
      <c r="F532" s="20">
        <v>4.5094848648048406E-2</v>
      </c>
      <c r="G532" s="20">
        <v>4.5044790756167553E-2</v>
      </c>
      <c r="H532" s="19"/>
      <c r="I532" s="27">
        <f t="shared" si="8"/>
        <v>21.16</v>
      </c>
      <c r="J532" s="20">
        <v>4.7606476348480142E-4</v>
      </c>
      <c r="K532" s="20">
        <v>4.7008915619312097E-4</v>
      </c>
    </row>
    <row r="533" spans="2:11" ht="16.2" x14ac:dyDescent="0.3">
      <c r="B533"/>
      <c r="C533"/>
      <c r="D533" s="19"/>
      <c r="E533" s="27">
        <v>21.2</v>
      </c>
      <c r="F533" s="20">
        <v>4.5113891238587799E-2</v>
      </c>
      <c r="G533" s="20">
        <v>4.5063696510621455E-2</v>
      </c>
      <c r="H533" s="19"/>
      <c r="I533" s="27">
        <f t="shared" si="8"/>
        <v>21.2</v>
      </c>
      <c r="J533" s="20">
        <v>4.8122516773576457E-4</v>
      </c>
      <c r="K533" s="20">
        <v>4.7520445468966939E-4</v>
      </c>
    </row>
    <row r="534" spans="2:11" ht="16.2" x14ac:dyDescent="0.3">
      <c r="B534"/>
      <c r="C534"/>
      <c r="D534" s="19"/>
      <c r="E534" s="27">
        <v>21.24</v>
      </c>
      <c r="F534" s="20">
        <v>4.5133140245297229E-2</v>
      </c>
      <c r="G534" s="20">
        <v>4.5082807584913856E-2</v>
      </c>
      <c r="H534" s="19"/>
      <c r="I534" s="27">
        <f t="shared" si="8"/>
        <v>21.24</v>
      </c>
      <c r="J534" s="20">
        <v>4.864212734115303E-4</v>
      </c>
      <c r="K534" s="20">
        <v>4.8035518108250681E-4</v>
      </c>
    </row>
    <row r="535" spans="2:11" ht="16.2" x14ac:dyDescent="0.3">
      <c r="B535"/>
      <c r="C535"/>
      <c r="D535" s="19"/>
      <c r="E535" s="27">
        <v>21.28</v>
      </c>
      <c r="F535" s="20">
        <v>4.515259709623369E-2</v>
      </c>
      <c r="G535" s="20">
        <v>4.5102125400124843E-2</v>
      </c>
      <c r="H535" s="19"/>
      <c r="I535" s="27">
        <f t="shared" si="8"/>
        <v>21.28</v>
      </c>
      <c r="J535" s="20">
        <v>4.9165328446076212E-4</v>
      </c>
      <c r="K535" s="20">
        <v>4.8554153379909838E-4</v>
      </c>
    </row>
    <row r="536" spans="2:11" ht="16.2" x14ac:dyDescent="0.3">
      <c r="B536"/>
      <c r="C536"/>
      <c r="D536" s="19"/>
      <c r="E536" s="27">
        <v>21.32</v>
      </c>
      <c r="F536" s="20">
        <v>4.5172263227612121E-2</v>
      </c>
      <c r="G536" s="20">
        <v>4.5121651385299326E-2</v>
      </c>
      <c r="H536" s="19"/>
      <c r="I536" s="27">
        <f t="shared" si="8"/>
        <v>21.32</v>
      </c>
      <c r="J536" s="20">
        <v>4.9692139742884417E-4</v>
      </c>
      <c r="K536" s="20">
        <v>4.9076371269331286E-4</v>
      </c>
    </row>
    <row r="537" spans="2:11" ht="16.2" x14ac:dyDescent="0.3">
      <c r="B537"/>
      <c r="C537"/>
      <c r="D537" s="19"/>
      <c r="E537" s="27">
        <v>21.36</v>
      </c>
      <c r="F537" s="20">
        <v>4.5192140083509275E-2</v>
      </c>
      <c r="G537" s="20">
        <v>4.5141386977506005E-2</v>
      </c>
      <c r="H537" s="19"/>
      <c r="I537" s="27">
        <f t="shared" si="8"/>
        <v>21.36</v>
      </c>
      <c r="J537" s="20">
        <v>5.0222582209328431E-4</v>
      </c>
      <c r="K537" s="20">
        <v>4.960219190608485E-4</v>
      </c>
    </row>
    <row r="538" spans="2:11" ht="16.2" x14ac:dyDescent="0.3">
      <c r="B538"/>
      <c r="C538"/>
      <c r="D538" s="19"/>
      <c r="E538" s="27">
        <v>21.4</v>
      </c>
      <c r="F538" s="20">
        <v>4.5212229116393006E-2</v>
      </c>
      <c r="G538" s="20">
        <v>4.516133362189341E-2</v>
      </c>
      <c r="H538" s="19"/>
      <c r="I538" s="27">
        <f t="shared" si="8"/>
        <v>21.4</v>
      </c>
      <c r="J538" s="20">
        <v>5.0756675763052178E-4</v>
      </c>
      <c r="K538" s="20">
        <v>5.0131635565426767E-4</v>
      </c>
    </row>
    <row r="539" spans="2:11" ht="16.2" x14ac:dyDescent="0.3">
      <c r="B539"/>
      <c r="C539"/>
      <c r="D539" s="19"/>
      <c r="E539" s="27">
        <v>21.44</v>
      </c>
      <c r="F539" s="20">
        <v>4.5232531786698227E-2</v>
      </c>
      <c r="G539" s="20">
        <v>4.518149277175057E-2</v>
      </c>
      <c r="H539" s="19"/>
      <c r="I539" s="27">
        <f t="shared" si="8"/>
        <v>21.44</v>
      </c>
      <c r="J539" s="20">
        <v>5.1294441163647619E-4</v>
      </c>
      <c r="K539" s="20">
        <v>5.0664722669894471E-4</v>
      </c>
    </row>
    <row r="540" spans="2:11" ht="16.2" x14ac:dyDescent="0.3">
      <c r="B540"/>
      <c r="C540"/>
      <c r="D540" s="19"/>
      <c r="E540" s="27">
        <v>21.48</v>
      </c>
      <c r="F540" s="20">
        <v>4.5253049563163686E-2</v>
      </c>
      <c r="G540" s="20">
        <v>4.5201865888564056E-2</v>
      </c>
      <c r="H540" s="19"/>
      <c r="I540" s="27">
        <f t="shared" si="8"/>
        <v>21.48</v>
      </c>
      <c r="J540" s="20">
        <v>5.1835899903211052E-4</v>
      </c>
      <c r="K540" s="20">
        <v>5.1201473790849416E-4</v>
      </c>
    </row>
    <row r="541" spans="2:11" ht="16.2" x14ac:dyDescent="0.3">
      <c r="B541"/>
      <c r="C541"/>
      <c r="D541" s="19"/>
      <c r="E541" s="27">
        <v>21.52</v>
      </c>
      <c r="F541" s="20">
        <v>4.527378392312497E-2</v>
      </c>
      <c r="G541" s="20">
        <v>4.5222454442080569E-2</v>
      </c>
      <c r="H541" s="19"/>
      <c r="I541" s="27">
        <f t="shared" si="8"/>
        <v>21.52</v>
      </c>
      <c r="J541" s="20">
        <v>5.2381071363946652E-4</v>
      </c>
      <c r="K541" s="20">
        <v>5.1741909650118983E-4</v>
      </c>
    </row>
    <row r="542" spans="2:11" ht="16.2" x14ac:dyDescent="0.3">
      <c r="B542"/>
      <c r="C542"/>
      <c r="D542" s="19"/>
      <c r="E542" s="27">
        <v>21.56</v>
      </c>
      <c r="F542" s="20">
        <v>4.5294736351670549E-2</v>
      </c>
      <c r="G542" s="20">
        <v>4.5243259910365131E-2</v>
      </c>
      <c r="H542" s="19"/>
      <c r="I542" s="27">
        <f t="shared" si="8"/>
        <v>21.56</v>
      </c>
      <c r="J542" s="20">
        <v>5.2929978828115953E-4</v>
      </c>
      <c r="K542" s="20">
        <v>5.2286051121589524E-4</v>
      </c>
    </row>
    <row r="543" spans="2:11" ht="16.2" x14ac:dyDescent="0.3">
      <c r="B543"/>
      <c r="C543"/>
      <c r="D543" s="19"/>
      <c r="E543" s="27">
        <v>21.6</v>
      </c>
      <c r="F543" s="20">
        <v>4.5315908343201795E-2</v>
      </c>
      <c r="G543" s="20">
        <v>4.5264283779862399E-2</v>
      </c>
      <c r="H543" s="19"/>
      <c r="I543" s="27">
        <f t="shared" si="8"/>
        <v>21.6</v>
      </c>
      <c r="J543" s="20">
        <v>5.3482640830805617E-4</v>
      </c>
      <c r="K543" s="20">
        <v>5.2833919232838776E-4</v>
      </c>
    </row>
    <row r="544" spans="2:11" ht="16.2" x14ac:dyDescent="0.3">
      <c r="B544"/>
      <c r="C544"/>
      <c r="D544" s="19"/>
      <c r="E544" s="27">
        <v>21.64</v>
      </c>
      <c r="F544" s="20">
        <v>4.5337301399534118E-2</v>
      </c>
      <c r="G544" s="20">
        <v>4.5285527545460835E-2</v>
      </c>
      <c r="H544" s="19"/>
      <c r="I544" s="27">
        <f t="shared" si="8"/>
        <v>21.64</v>
      </c>
      <c r="J544" s="20">
        <v>5.4039081266721301E-4</v>
      </c>
      <c r="K544" s="20">
        <v>5.3385535166815214E-4</v>
      </c>
    </row>
    <row r="545" spans="2:11" ht="16.2" x14ac:dyDescent="0.3">
      <c r="B545"/>
      <c r="C545"/>
      <c r="D545" s="19"/>
      <c r="E545" s="27">
        <v>21.68</v>
      </c>
      <c r="F545" s="20">
        <v>4.5358917032040806E-2</v>
      </c>
      <c r="G545" s="20">
        <v>4.530699271055038E-2</v>
      </c>
      <c r="H545" s="19"/>
      <c r="I545" s="27">
        <f t="shared" si="8"/>
        <v>21.68</v>
      </c>
      <c r="J545" s="20">
        <v>5.4599321399357442E-4</v>
      </c>
      <c r="K545" s="20">
        <v>5.3940920263487169E-4</v>
      </c>
    </row>
    <row r="546" spans="2:11" ht="16.2" x14ac:dyDescent="0.3">
      <c r="B546"/>
      <c r="C546"/>
      <c r="D546" s="19"/>
      <c r="E546" s="27">
        <v>21.72</v>
      </c>
      <c r="F546" s="20">
        <v>4.5380756760600549E-2</v>
      </c>
      <c r="G546" s="20">
        <v>4.5328680787091812E-2</v>
      </c>
      <c r="H546" s="19"/>
      <c r="I546" s="27">
        <f t="shared" si="8"/>
        <v>21.72</v>
      </c>
      <c r="J546" s="20">
        <v>5.516338033599924E-4</v>
      </c>
      <c r="K546" s="20">
        <v>5.4500096021589184E-4</v>
      </c>
    </row>
    <row r="547" spans="2:11" ht="16.2" x14ac:dyDescent="0.3">
      <c r="B547"/>
      <c r="C547"/>
      <c r="D547" s="19"/>
      <c r="E547" s="27">
        <v>21.76</v>
      </c>
      <c r="F547" s="20">
        <v>4.5402822112734949E-2</v>
      </c>
      <c r="G547" s="20">
        <v>4.5350593295676478E-2</v>
      </c>
      <c r="H547" s="19"/>
      <c r="I547" s="27">
        <f t="shared" si="8"/>
        <v>21.76</v>
      </c>
      <c r="J547" s="20">
        <v>5.5731283190377234E-4</v>
      </c>
      <c r="K547" s="20">
        <v>5.5063084100308074E-4</v>
      </c>
    </row>
    <row r="548" spans="2:11" ht="16.2" x14ac:dyDescent="0.3">
      <c r="B548"/>
      <c r="C548"/>
      <c r="D548" s="19"/>
      <c r="E548" s="27">
        <v>21.8</v>
      </c>
      <c r="F548" s="20">
        <v>4.54251146260111E-2</v>
      </c>
      <c r="G548" s="20">
        <v>4.537273176559025E-2</v>
      </c>
      <c r="H548" s="19"/>
      <c r="I548" s="27">
        <f t="shared" si="8"/>
        <v>21.8</v>
      </c>
      <c r="J548" s="20">
        <v>5.6303050637706437E-4</v>
      </c>
      <c r="K548" s="20">
        <v>5.5629906321023697E-4</v>
      </c>
    </row>
    <row r="549" spans="2:11" ht="16.2" x14ac:dyDescent="0.3">
      <c r="B549"/>
      <c r="C549"/>
      <c r="D549" s="19"/>
      <c r="E549" s="27">
        <v>21.84</v>
      </c>
      <c r="F549" s="20">
        <v>4.5447635846266182E-2</v>
      </c>
      <c r="G549" s="20">
        <v>4.5395097734882213E-2</v>
      </c>
      <c r="H549" s="19"/>
      <c r="I549" s="27">
        <f t="shared" si="8"/>
        <v>21.84</v>
      </c>
      <c r="J549" s="20">
        <v>5.6878704317170348E-4</v>
      </c>
      <c r="K549" s="20">
        <v>5.6200584669101707E-4</v>
      </c>
    </row>
    <row r="550" spans="2:11" ht="16.2" x14ac:dyDescent="0.3">
      <c r="B550"/>
      <c r="C550"/>
      <c r="D550" s="19"/>
      <c r="E550" s="27">
        <v>21.88</v>
      </c>
      <c r="F550" s="20">
        <v>4.547038732799305E-2</v>
      </c>
      <c r="G550" s="20">
        <v>4.5417692750428652E-2</v>
      </c>
      <c r="H550" s="19"/>
      <c r="I550" s="27">
        <f t="shared" si="8"/>
        <v>21.88</v>
      </c>
      <c r="J550" s="20">
        <v>5.7458268160753834E-4</v>
      </c>
      <c r="K550" s="20">
        <v>5.6775141295676895E-4</v>
      </c>
    </row>
    <row r="551" spans="2:11" ht="16.2" x14ac:dyDescent="0.3">
      <c r="B551"/>
      <c r="C551"/>
      <c r="D551" s="19"/>
      <c r="E551" s="27">
        <v>21.92</v>
      </c>
      <c r="F551" s="20">
        <v>4.5493370635257352E-2</v>
      </c>
      <c r="G551" s="20">
        <v>4.5440518367998388E-2</v>
      </c>
      <c r="H551" s="19"/>
      <c r="I551" s="27">
        <f t="shared" si="8"/>
        <v>21.92</v>
      </c>
      <c r="J551" s="20">
        <v>5.8041763092344517E-4</v>
      </c>
      <c r="K551" s="20">
        <v>5.7353598519423448E-4</v>
      </c>
    </row>
    <row r="552" spans="2:11" ht="16.2" x14ac:dyDescent="0.3">
      <c r="B552"/>
      <c r="C552"/>
      <c r="D552" s="19"/>
      <c r="E552" s="27">
        <v>21.96</v>
      </c>
      <c r="F552" s="20">
        <v>4.551658734049429E-2</v>
      </c>
      <c r="G552" s="20">
        <v>4.5463576152321938E-2</v>
      </c>
      <c r="H552" s="19"/>
      <c r="I552" s="27">
        <f t="shared" si="8"/>
        <v>21.96</v>
      </c>
      <c r="J552" s="20">
        <v>5.8629213344936482E-4</v>
      </c>
      <c r="K552" s="20">
        <v>5.7935978828427552E-4</v>
      </c>
    </row>
    <row r="553" spans="2:11" ht="16.2" x14ac:dyDescent="0.3">
      <c r="B553"/>
      <c r="C553"/>
      <c r="D553" s="19"/>
      <c r="E553" s="27">
        <v>22</v>
      </c>
      <c r="F553" s="20">
        <v>4.5540039025832264E-2</v>
      </c>
      <c r="G553" s="20">
        <v>4.5486867677159301E-2</v>
      </c>
      <c r="H553" s="19"/>
      <c r="I553" s="27">
        <f t="shared" si="8"/>
        <v>22</v>
      </c>
      <c r="J553" s="20">
        <v>5.9220640181347622E-4</v>
      </c>
      <c r="K553" s="20">
        <v>5.852230488202862E-4</v>
      </c>
    </row>
    <row r="554" spans="2:11" ht="16.2" x14ac:dyDescent="0.3">
      <c r="B554"/>
      <c r="C554"/>
      <c r="D554" s="19"/>
      <c r="E554" s="27">
        <v>22.04</v>
      </c>
      <c r="F554" s="20">
        <v>4.5563727281904803E-2</v>
      </c>
      <c r="G554" s="20">
        <v>4.5510394525370292E-2</v>
      </c>
      <c r="H554" s="19"/>
      <c r="I554" s="27">
        <f t="shared" si="8"/>
        <v>22.04</v>
      </c>
      <c r="J554" s="20">
        <v>5.981606835044409E-4</v>
      </c>
      <c r="K554" s="20">
        <v>5.911259951272205E-4</v>
      </c>
    </row>
    <row r="555" spans="2:11" ht="16.2" x14ac:dyDescent="0.3">
      <c r="B555"/>
      <c r="C555"/>
      <c r="D555" s="19"/>
      <c r="E555" s="27">
        <v>22.08</v>
      </c>
      <c r="F555" s="20">
        <v>4.5587653709244981E-2</v>
      </c>
      <c r="G555" s="20">
        <v>4.5534158288980338E-2</v>
      </c>
      <c r="H555" s="19"/>
      <c r="I555" s="27">
        <f t="shared" si="8"/>
        <v>22.08</v>
      </c>
      <c r="J555" s="20">
        <v>6.0415519934492456E-4</v>
      </c>
      <c r="K555" s="20">
        <v>5.9706885728010332E-4</v>
      </c>
    </row>
    <row r="556" spans="2:11" ht="16.2" x14ac:dyDescent="0.3">
      <c r="B556"/>
      <c r="C556"/>
      <c r="D556" s="19"/>
      <c r="E556" s="27">
        <v>22.12</v>
      </c>
      <c r="F556" s="20">
        <v>4.5611819917218778E-2</v>
      </c>
      <c r="G556" s="20">
        <v>4.5558160569254123E-2</v>
      </c>
      <c r="H556" s="19"/>
      <c r="I556" s="27">
        <f t="shared" si="8"/>
        <v>22.12</v>
      </c>
      <c r="J556" s="20">
        <v>6.1019018664267011E-4</v>
      </c>
      <c r="K556" s="20">
        <v>6.0305186712372987E-4</v>
      </c>
    </row>
    <row r="557" spans="2:11" ht="16.2" x14ac:dyDescent="0.3">
      <c r="B557"/>
      <c r="C557"/>
      <c r="D557" s="19"/>
      <c r="E557" s="27">
        <v>22.16</v>
      </c>
      <c r="F557" s="20">
        <v>4.5636227524684485E-2</v>
      </c>
      <c r="G557" s="20">
        <v>4.5582402976767022E-2</v>
      </c>
      <c r="H557" s="19"/>
      <c r="I557" s="27">
        <f t="shared" si="8"/>
        <v>22.16</v>
      </c>
      <c r="J557" s="20">
        <v>6.1626588515484998E-4</v>
      </c>
      <c r="K557" s="20">
        <v>6.0907525829201304E-4</v>
      </c>
    </row>
    <row r="558" spans="2:11" ht="16.2" x14ac:dyDescent="0.3">
      <c r="B558"/>
      <c r="C558"/>
      <c r="D558" s="19"/>
      <c r="E558" s="27">
        <v>22.2</v>
      </c>
      <c r="F558" s="20">
        <v>4.5660878160090679E-2</v>
      </c>
      <c r="G558" s="20">
        <v>4.560688713147365E-2</v>
      </c>
      <c r="H558" s="19"/>
      <c r="I558" s="27">
        <f t="shared" si="8"/>
        <v>22.2</v>
      </c>
      <c r="J558" s="20">
        <v>6.2238253178380221E-4</v>
      </c>
      <c r="K558" s="20">
        <v>6.1513926622764638E-4</v>
      </c>
    </row>
    <row r="559" spans="2:11" ht="16.2" x14ac:dyDescent="0.3">
      <c r="B559"/>
      <c r="C559"/>
      <c r="D559" s="19"/>
      <c r="E559" s="27">
        <v>22.24</v>
      </c>
      <c r="F559" s="20">
        <v>4.5685773461362031E-2</v>
      </c>
      <c r="G559" s="20">
        <v>4.5631614662785029E-2</v>
      </c>
      <c r="H559" s="19"/>
      <c r="I559" s="27">
        <f t="shared" si="8"/>
        <v>22.24</v>
      </c>
      <c r="J559" s="20">
        <v>6.2854035857273088E-4</v>
      </c>
      <c r="K559" s="20">
        <v>6.2124412820244732E-4</v>
      </c>
    </row>
    <row r="560" spans="2:11" ht="16.2" x14ac:dyDescent="0.3">
      <c r="B560"/>
      <c r="C560"/>
      <c r="D560" s="19"/>
      <c r="E560" s="27">
        <v>22.28</v>
      </c>
      <c r="F560" s="20">
        <v>4.571091507570494E-2</v>
      </c>
      <c r="G560" s="20">
        <v>4.5656587209637729E-2</v>
      </c>
      <c r="H560" s="19"/>
      <c r="I560" s="27">
        <f t="shared" si="8"/>
        <v>22.28</v>
      </c>
      <c r="J560" s="20">
        <v>6.3473962410177248E-4</v>
      </c>
      <c r="K560" s="20">
        <v>6.2739008333707522E-4</v>
      </c>
    </row>
    <row r="561" spans="2:11" ht="16.2" x14ac:dyDescent="0.3">
      <c r="B561"/>
      <c r="C561"/>
      <c r="D561" s="19"/>
      <c r="E561" s="27">
        <v>22.32</v>
      </c>
      <c r="F561" s="20">
        <v>4.5736304660669011E-2</v>
      </c>
      <c r="G561" s="20">
        <v>4.5681806420573082E-2</v>
      </c>
      <c r="H561" s="19"/>
      <c r="I561" s="27">
        <f t="shared" si="8"/>
        <v>22.32</v>
      </c>
      <c r="J561" s="20">
        <v>6.4098054915143893E-4</v>
      </c>
      <c r="K561" s="20">
        <v>6.3357737262212507E-4</v>
      </c>
    </row>
    <row r="562" spans="2:11" ht="16.2" x14ac:dyDescent="0.3">
      <c r="B562"/>
      <c r="C562"/>
      <c r="D562" s="19"/>
      <c r="E562" s="27">
        <v>22.36</v>
      </c>
      <c r="F562" s="20">
        <v>4.5761943882635069E-2</v>
      </c>
      <c r="G562" s="20">
        <v>4.5707273953807477E-2</v>
      </c>
      <c r="H562" s="19"/>
      <c r="I562" s="27">
        <f t="shared" si="8"/>
        <v>22.36</v>
      </c>
      <c r="J562" s="20">
        <v>6.4726340835222218E-4</v>
      </c>
      <c r="K562" s="20">
        <v>6.3980623893826179E-4</v>
      </c>
    </row>
    <row r="563" spans="2:11" ht="16.2" x14ac:dyDescent="0.3">
      <c r="B563"/>
      <c r="C563"/>
      <c r="D563" s="19"/>
      <c r="E563" s="27">
        <v>22.4</v>
      </c>
      <c r="F563" s="20">
        <v>4.5787834418969157E-2</v>
      </c>
      <c r="G563" s="20">
        <v>4.573299147731149E-2</v>
      </c>
      <c r="H563" s="19"/>
      <c r="I563" s="27">
        <f t="shared" si="8"/>
        <v>22.4</v>
      </c>
      <c r="J563" s="20">
        <v>6.5358841634752946E-4</v>
      </c>
      <c r="K563" s="20">
        <v>6.4607692707788385E-4</v>
      </c>
    </row>
    <row r="564" spans="2:11" ht="16.2" x14ac:dyDescent="0.3">
      <c r="B564"/>
      <c r="C564"/>
      <c r="D564" s="19"/>
      <c r="E564" s="27">
        <v>22.44</v>
      </c>
      <c r="F564" s="20">
        <v>4.5813977955623059E-2</v>
      </c>
      <c r="G564" s="20">
        <v>4.5758960668886996E-2</v>
      </c>
      <c r="H564" s="19"/>
      <c r="I564" s="27">
        <f t="shared" si="8"/>
        <v>22.44</v>
      </c>
      <c r="J564" s="20">
        <v>6.5995584686718428E-4</v>
      </c>
      <c r="K564" s="20">
        <v>6.523896837660612E-4</v>
      </c>
    </row>
    <row r="565" spans="2:11" ht="16.2" x14ac:dyDescent="0.3">
      <c r="B565"/>
      <c r="C565"/>
      <c r="D565" s="19"/>
      <c r="E565" s="27">
        <v>22.48</v>
      </c>
      <c r="F565" s="20">
        <v>4.5840376189497746E-2</v>
      </c>
      <c r="G565" s="20">
        <v>4.5785183216241671E-2</v>
      </c>
      <c r="H565" s="19"/>
      <c r="I565" s="27">
        <f t="shared" si="8"/>
        <v>22.48</v>
      </c>
      <c r="J565" s="20">
        <v>6.6636594848006048E-4</v>
      </c>
      <c r="K565" s="20">
        <v>6.5874475768200574E-4</v>
      </c>
    </row>
    <row r="566" spans="2:11" ht="16.2" x14ac:dyDescent="0.3">
      <c r="B566"/>
      <c r="C566"/>
      <c r="D566" s="19"/>
      <c r="E566" s="27">
        <v>22.52</v>
      </c>
      <c r="F566" s="20">
        <v>4.5867030827436948E-2</v>
      </c>
      <c r="G566" s="20">
        <v>4.5811660817071762E-2</v>
      </c>
      <c r="H566" s="19"/>
      <c r="I566" s="27">
        <f t="shared" si="8"/>
        <v>22.52</v>
      </c>
      <c r="J566" s="20">
        <v>6.7281895372965639E-4</v>
      </c>
      <c r="K566" s="20">
        <v>6.6514239948128396E-4</v>
      </c>
    </row>
    <row r="567" spans="2:11" ht="16.2" x14ac:dyDescent="0.3">
      <c r="B567"/>
      <c r="C567"/>
      <c r="D567" s="19"/>
      <c r="E567" s="27">
        <v>22.56</v>
      </c>
      <c r="F567" s="20">
        <v>4.5893943585586135E-2</v>
      </c>
      <c r="G567" s="20">
        <v>4.5838395179139957E-2</v>
      </c>
      <c r="H567" s="19"/>
      <c r="I567" s="27">
        <f t="shared" si="8"/>
        <v>22.56</v>
      </c>
      <c r="J567" s="20">
        <v>6.793151542915099E-4</v>
      </c>
      <c r="K567" s="20">
        <v>6.7158286181773327E-4</v>
      </c>
    </row>
    <row r="568" spans="2:11" ht="16.2" x14ac:dyDescent="0.3">
      <c r="B568"/>
      <c r="C568"/>
      <c r="D568" s="19"/>
      <c r="E568" s="27">
        <v>22.6</v>
      </c>
      <c r="F568" s="20">
        <v>4.5921116191757795E-2</v>
      </c>
      <c r="G568" s="20">
        <v>4.5865388020352171E-2</v>
      </c>
      <c r="H568" s="19"/>
      <c r="I568" s="27">
        <f t="shared" si="8"/>
        <v>22.6</v>
      </c>
      <c r="J568" s="20">
        <v>6.8585477648146209E-4</v>
      </c>
      <c r="K568" s="20">
        <v>6.7806639936561454E-4</v>
      </c>
    </row>
    <row r="569" spans="2:11" ht="16.2" x14ac:dyDescent="0.3">
      <c r="B569"/>
      <c r="C569"/>
      <c r="D569" s="19"/>
      <c r="E569" s="27">
        <v>22.64</v>
      </c>
      <c r="F569" s="20">
        <v>4.5948550382817054E-2</v>
      </c>
      <c r="G569" s="20">
        <v>4.5892641068846995E-2</v>
      </c>
      <c r="H569" s="19"/>
      <c r="I569" s="27">
        <f t="shared" si="8"/>
        <v>22.64</v>
      </c>
      <c r="J569" s="20">
        <v>6.9243808984795902E-4</v>
      </c>
      <c r="K569" s="20">
        <v>6.8459326884292735E-4</v>
      </c>
    </row>
    <row r="570" spans="2:11" ht="16.2" x14ac:dyDescent="0.3">
      <c r="B570"/>
      <c r="C570"/>
      <c r="D570" s="19"/>
      <c r="E570" s="27">
        <v>22.68</v>
      </c>
      <c r="F570" s="20">
        <v>4.5976247906410972E-2</v>
      </c>
      <c r="G570" s="20">
        <v>4.5920156063068721E-2</v>
      </c>
      <c r="H570" s="19"/>
      <c r="I570" s="27">
        <f t="shared" si="8"/>
        <v>22.68</v>
      </c>
      <c r="J570" s="20">
        <v>6.9906536520128459E-4</v>
      </c>
      <c r="K570" s="20">
        <v>6.9116372903367627E-4</v>
      </c>
    </row>
    <row r="571" spans="2:11" ht="16.2" x14ac:dyDescent="0.3">
      <c r="B571"/>
      <c r="C571"/>
      <c r="D571" s="19"/>
      <c r="E571" s="27">
        <v>22.72</v>
      </c>
      <c r="F571" s="20">
        <v>4.6004210521019023E-2</v>
      </c>
      <c r="G571" s="20">
        <v>4.5947934751856628E-2</v>
      </c>
      <c r="H571" s="19"/>
      <c r="I571" s="27">
        <f t="shared" si="8"/>
        <v>22.72</v>
      </c>
      <c r="J571" s="20">
        <v>7.057368511118739E-4</v>
      </c>
      <c r="K571" s="20">
        <v>6.9777804081160987E-4</v>
      </c>
    </row>
    <row r="572" spans="2:11" ht="16.2" x14ac:dyDescent="0.3">
      <c r="B572"/>
      <c r="C572"/>
      <c r="D572" s="19"/>
      <c r="E572" s="27">
        <v>22.76</v>
      </c>
      <c r="F572" s="20">
        <v>4.6032439995063498E-2</v>
      </c>
      <c r="G572" s="20">
        <v>4.5975978894526717E-2</v>
      </c>
      <c r="H572" s="19"/>
      <c r="I572" s="27">
        <f t="shared" si="8"/>
        <v>22.76</v>
      </c>
      <c r="J572" s="20">
        <v>7.1245282488013179E-4</v>
      </c>
      <c r="K572" s="20">
        <v>7.0443646716375973E-4</v>
      </c>
    </row>
    <row r="573" spans="2:11" ht="16.2" x14ac:dyDescent="0.3">
      <c r="B573"/>
      <c r="C573"/>
      <c r="D573" s="19"/>
      <c r="E573" s="27">
        <v>22.8</v>
      </c>
      <c r="F573" s="20">
        <v>4.6060938108058704E-2</v>
      </c>
      <c r="G573" s="20">
        <v>4.6004290260958106E-2</v>
      </c>
      <c r="H573" s="19"/>
      <c r="I573" s="27">
        <f t="shared" si="8"/>
        <v>22.8</v>
      </c>
      <c r="J573" s="20">
        <v>7.1921354752955274E-4</v>
      </c>
      <c r="K573" s="20">
        <v>7.1113927321406125E-4</v>
      </c>
    </row>
    <row r="574" spans="2:11" ht="16.2" x14ac:dyDescent="0.3">
      <c r="B574"/>
      <c r="C574"/>
      <c r="D574" s="19"/>
      <c r="E574" s="27">
        <v>22.84</v>
      </c>
      <c r="F574" s="20">
        <v>4.6089706649959886E-2</v>
      </c>
      <c r="G574" s="20">
        <v>4.6032870631676617E-2</v>
      </c>
      <c r="H574" s="19"/>
      <c r="I574" s="27">
        <f t="shared" si="8"/>
        <v>22.84</v>
      </c>
      <c r="J574" s="20">
        <v>7.2601929903826079E-4</v>
      </c>
      <c r="K574" s="20">
        <v>7.1788672624774081E-4</v>
      </c>
    </row>
    <row r="575" spans="2:11" ht="16.2" x14ac:dyDescent="0.3">
      <c r="B575"/>
      <c r="C575"/>
      <c r="D575" s="19"/>
      <c r="E575" s="27">
        <v>22.88</v>
      </c>
      <c r="F575" s="20">
        <v>4.6118747421921416E-2</v>
      </c>
      <c r="G575" s="20">
        <v>4.6061721797942941E-2</v>
      </c>
      <c r="H575" s="19"/>
      <c r="I575" s="27">
        <f t="shared" si="8"/>
        <v>22.88</v>
      </c>
      <c r="J575" s="20">
        <v>7.3287034862631883E-4</v>
      </c>
      <c r="K575" s="20">
        <v>7.2467909573562862E-4</v>
      </c>
    </row>
    <row r="576" spans="2:11" ht="16.2" x14ac:dyDescent="0.3">
      <c r="B576"/>
      <c r="C576"/>
      <c r="D576" s="19"/>
      <c r="E576" s="27">
        <v>22.92</v>
      </c>
      <c r="F576" s="20">
        <v>4.6148062235866469E-2</v>
      </c>
      <c r="G576" s="20">
        <v>4.6090845561842481E-2</v>
      </c>
      <c r="H576" s="19"/>
      <c r="I576" s="27">
        <f t="shared" si="8"/>
        <v>22.92</v>
      </c>
      <c r="J576" s="20">
        <v>7.3976694818251448E-4</v>
      </c>
      <c r="K576" s="20">
        <v>7.3151665335935792E-4</v>
      </c>
    </row>
    <row r="577" spans="2:11" ht="16.2" x14ac:dyDescent="0.3">
      <c r="B577"/>
      <c r="C577"/>
      <c r="D577" s="19"/>
      <c r="E577" s="27">
        <v>22.96</v>
      </c>
      <c r="F577" s="20">
        <v>4.6177652913793769E-2</v>
      </c>
      <c r="G577" s="20">
        <v>4.612024373637149E-2</v>
      </c>
      <c r="H577" s="19"/>
      <c r="I577" s="27">
        <f t="shared" si="8"/>
        <v>22.96</v>
      </c>
      <c r="J577" s="20">
        <v>7.4670942822006869E-4</v>
      </c>
      <c r="K577" s="20">
        <v>7.3839967303599091E-4</v>
      </c>
    </row>
    <row r="578" spans="2:11" ht="16.2" x14ac:dyDescent="0.3">
      <c r="B578"/>
      <c r="C578"/>
      <c r="D578" s="19"/>
      <c r="E578" s="27">
        <v>23</v>
      </c>
      <c r="F578" s="20">
        <v>4.6207521290922572E-2</v>
      </c>
      <c r="G578" s="20">
        <v>4.6149918145527165E-2</v>
      </c>
      <c r="H578" s="19"/>
      <c r="I578" s="27">
        <f t="shared" si="8"/>
        <v>23</v>
      </c>
      <c r="J578" s="20">
        <v>7.536980031896609E-4</v>
      </c>
      <c r="K578" s="20">
        <v>7.4532843094362493E-4</v>
      </c>
    </row>
    <row r="579" spans="2:11" ht="16.2" x14ac:dyDescent="0.3">
      <c r="B579"/>
      <c r="C579"/>
      <c r="D579" s="19"/>
      <c r="E579" s="27">
        <v>23.04</v>
      </c>
      <c r="F579" s="20">
        <v>4.6237669211050159E-2</v>
      </c>
      <c r="G579" s="20">
        <v>4.6179870624402368E-2</v>
      </c>
      <c r="H579" s="19"/>
      <c r="I579" s="27">
        <f t="shared" si="8"/>
        <v>23.04</v>
      </c>
      <c r="J579" s="20">
        <v>7.6073300055348042E-4</v>
      </c>
      <c r="K579" s="20">
        <v>7.5230320554747212E-4</v>
      </c>
    </row>
    <row r="580" spans="2:11" ht="16.2" x14ac:dyDescent="0.3">
      <c r="B580"/>
      <c r="C580"/>
      <c r="D580" s="19"/>
      <c r="E580" s="27">
        <v>23.08</v>
      </c>
      <c r="F580" s="20">
        <v>4.6268098531072298E-2</v>
      </c>
      <c r="G580" s="20">
        <v>4.6210103019270074E-2</v>
      </c>
      <c r="H580" s="19"/>
      <c r="I580" s="27">
        <f t="shared" ref="I580:I643" si="9">IF(E580&lt;&gt;"",E580,"")</f>
        <v>23.08</v>
      </c>
      <c r="J580" s="20">
        <v>7.6781469758018667E-4</v>
      </c>
      <c r="K580" s="20">
        <v>7.5932427762540067E-4</v>
      </c>
    </row>
    <row r="581" spans="2:11" ht="16.2" x14ac:dyDescent="0.3">
      <c r="B581"/>
      <c r="C581"/>
      <c r="D581" s="19"/>
      <c r="E581" s="27">
        <v>23.12</v>
      </c>
      <c r="F581" s="20">
        <v>4.6298811118975505E-2</v>
      </c>
      <c r="G581" s="20">
        <v>4.6240617187685087E-2</v>
      </c>
      <c r="H581" s="19"/>
      <c r="I581" s="27">
        <f t="shared" si="9"/>
        <v>23.12</v>
      </c>
      <c r="J581" s="20">
        <v>7.7494336434107136E-4</v>
      </c>
      <c r="K581" s="20">
        <v>7.6639193029497739E-4</v>
      </c>
    </row>
    <row r="582" spans="2:11" ht="16.2" x14ac:dyDescent="0.3">
      <c r="B582"/>
      <c r="C582"/>
      <c r="D582" s="19"/>
      <c r="E582" s="27">
        <v>23.16</v>
      </c>
      <c r="F582" s="20">
        <v>4.6329808853549148E-2</v>
      </c>
      <c r="G582" s="20">
        <v>4.6271414998572964E-2</v>
      </c>
      <c r="H582" s="19"/>
      <c r="I582" s="27">
        <f t="shared" si="9"/>
        <v>23.16</v>
      </c>
      <c r="J582" s="20">
        <v>7.8211929118478241E-4</v>
      </c>
      <c r="K582" s="20">
        <v>7.7350644903986408E-4</v>
      </c>
    </row>
    <row r="583" spans="2:11" ht="16.2" x14ac:dyDescent="0.3">
      <c r="B583"/>
      <c r="C583"/>
      <c r="D583" s="19"/>
      <c r="E583" s="27">
        <v>23.2</v>
      </c>
      <c r="F583" s="20">
        <v>4.6361093625196539E-2</v>
      </c>
      <c r="G583" s="20">
        <v>4.6302498332327309E-2</v>
      </c>
      <c r="H583" s="19"/>
      <c r="I583" s="27">
        <f t="shared" si="9"/>
        <v>23.2</v>
      </c>
      <c r="J583" s="20">
        <v>7.8934280291331066E-4</v>
      </c>
      <c r="K583" s="20">
        <v>7.8066812173712753E-4</v>
      </c>
    </row>
    <row r="584" spans="2:11" ht="16.2" x14ac:dyDescent="0.3">
      <c r="B584"/>
      <c r="C584"/>
      <c r="D584" s="19"/>
      <c r="E584" s="27">
        <v>23.24</v>
      </c>
      <c r="F584" s="20">
        <v>4.6392667337313072E-2</v>
      </c>
      <c r="G584" s="20">
        <v>4.6333869080901278E-2</v>
      </c>
      <c r="H584" s="19"/>
      <c r="I584" s="27">
        <f t="shared" si="9"/>
        <v>23.24</v>
      </c>
      <c r="J584" s="20">
        <v>7.9661414221932764E-4</v>
      </c>
      <c r="K584" s="20">
        <v>7.8787723868434744E-4</v>
      </c>
    </row>
    <row r="585" spans="2:11" ht="16.2" x14ac:dyDescent="0.3">
      <c r="B585"/>
      <c r="C585"/>
      <c r="D585" s="19"/>
      <c r="E585" s="27">
        <v>23.28</v>
      </c>
      <c r="F585" s="20">
        <v>4.6424531903001845E-2</v>
      </c>
      <c r="G585" s="20">
        <v>4.6365529147913878E-2</v>
      </c>
      <c r="H585" s="19"/>
      <c r="I585" s="27">
        <f t="shared" si="9"/>
        <v>23.28</v>
      </c>
      <c r="J585" s="20">
        <v>8.0393364322826899E-4</v>
      </c>
      <c r="K585" s="20">
        <v>7.9513409262829736E-4</v>
      </c>
    </row>
    <row r="586" spans="2:11" ht="16.2" x14ac:dyDescent="0.3">
      <c r="B586"/>
      <c r="C586"/>
      <c r="D586" s="19"/>
      <c r="E586" s="27">
        <v>23.32</v>
      </c>
      <c r="F586" s="20">
        <v>4.6456689248730976E-2</v>
      </c>
      <c r="G586" s="20">
        <v>4.6397480448740105E-2</v>
      </c>
      <c r="H586" s="19"/>
      <c r="I586" s="27">
        <f t="shared" si="9"/>
        <v>23.32</v>
      </c>
      <c r="J586" s="20">
        <v>8.1130159624472065E-4</v>
      </c>
      <c r="K586" s="20">
        <v>8.0243897879222993E-4</v>
      </c>
    </row>
    <row r="587" spans="2:11" ht="16.2" x14ac:dyDescent="0.3">
      <c r="B587"/>
      <c r="C587"/>
      <c r="D587" s="19"/>
      <c r="E587" s="27">
        <v>23.36</v>
      </c>
      <c r="F587" s="20">
        <v>4.6489141312580765E-2</v>
      </c>
      <c r="G587" s="20">
        <v>4.6429724910614721E-2</v>
      </c>
      <c r="H587" s="19"/>
      <c r="I587" s="27">
        <f t="shared" si="9"/>
        <v>23.36</v>
      </c>
      <c r="J587" s="20">
        <v>8.1871828286183418E-4</v>
      </c>
      <c r="K587" s="20">
        <v>8.0979219490498076E-4</v>
      </c>
    </row>
    <row r="588" spans="2:11" ht="16.2" x14ac:dyDescent="0.3">
      <c r="B588"/>
      <c r="C588"/>
      <c r="D588" s="19"/>
      <c r="E588" s="27">
        <v>23.4</v>
      </c>
      <c r="F588" s="20">
        <v>4.6521890043895238E-2</v>
      </c>
      <c r="G588" s="20">
        <v>4.6462264472734417E-2</v>
      </c>
      <c r="H588" s="19"/>
      <c r="I588" s="27">
        <f t="shared" si="9"/>
        <v>23.4</v>
      </c>
      <c r="J588" s="20">
        <v>8.2618404432504428E-4</v>
      </c>
      <c r="K588" s="20">
        <v>8.1719404122997954E-4</v>
      </c>
    </row>
    <row r="589" spans="2:11" ht="16.2" x14ac:dyDescent="0.3">
      <c r="B589"/>
      <c r="C589"/>
      <c r="D589" s="19"/>
      <c r="E589" s="27">
        <v>23.44</v>
      </c>
      <c r="F589" s="20">
        <v>4.655493740566824E-2</v>
      </c>
      <c r="G589" s="20">
        <v>4.649510108635279E-2</v>
      </c>
      <c r="H589" s="19"/>
      <c r="I589" s="27">
        <f t="shared" si="9"/>
        <v>23.44</v>
      </c>
      <c r="J589" s="20">
        <v>8.3369914198033052E-4</v>
      </c>
      <c r="K589" s="20">
        <v>8.246448205939639E-4</v>
      </c>
    </row>
    <row r="590" spans="2:11" ht="16.2" x14ac:dyDescent="0.3">
      <c r="B590"/>
      <c r="C590"/>
      <c r="D590" s="19"/>
      <c r="E590" s="27">
        <v>23.48</v>
      </c>
      <c r="F590" s="20">
        <v>4.6588285371347453E-2</v>
      </c>
      <c r="G590" s="20">
        <v>4.6528236714893589E-2</v>
      </c>
      <c r="H590" s="19"/>
      <c r="I590" s="27">
        <f t="shared" si="9"/>
        <v>23.48</v>
      </c>
      <c r="J590" s="20">
        <v>8.4126392674820083E-4</v>
      </c>
      <c r="K590" s="20">
        <v>8.3214483841755483E-4</v>
      </c>
    </row>
    <row r="591" spans="2:11" ht="16.2" x14ac:dyDescent="0.3">
      <c r="B591"/>
      <c r="C591"/>
      <c r="D591" s="19"/>
      <c r="E591" s="27">
        <v>23.52</v>
      </c>
      <c r="F591" s="20">
        <v>4.6621935928417381E-2</v>
      </c>
      <c r="G591" s="20">
        <v>4.6561673334045248E-2</v>
      </c>
      <c r="H591" s="19"/>
      <c r="I591" s="27">
        <f t="shared" si="9"/>
        <v>23.52</v>
      </c>
      <c r="J591" s="20">
        <v>8.4887869334186739E-4</v>
      </c>
      <c r="K591" s="20">
        <v>8.3969440274455373E-4</v>
      </c>
    </row>
    <row r="592" spans="2:11" ht="16.2" x14ac:dyDescent="0.3">
      <c r="B592"/>
      <c r="C592"/>
      <c r="D592" s="19"/>
      <c r="E592" s="27">
        <v>23.56</v>
      </c>
      <c r="F592" s="20">
        <v>4.6655891076151056E-2</v>
      </c>
      <c r="G592" s="20">
        <v>4.6595412931873956E-2</v>
      </c>
      <c r="H592" s="19"/>
      <c r="I592" s="27">
        <f t="shared" si="9"/>
        <v>23.56</v>
      </c>
      <c r="J592" s="20">
        <v>8.5654373641070453E-4</v>
      </c>
      <c r="K592" s="20">
        <v>8.4729382427302683E-4</v>
      </c>
    </row>
    <row r="593" spans="2:11" ht="16.2" x14ac:dyDescent="0.3">
      <c r="B593"/>
      <c r="C593"/>
      <c r="D593" s="19"/>
      <c r="E593" s="27">
        <v>23.6</v>
      </c>
      <c r="F593" s="20">
        <v>4.6690152825607484E-2</v>
      </c>
      <c r="G593" s="20">
        <v>4.6629457508927608E-2</v>
      </c>
      <c r="H593" s="19"/>
      <c r="I593" s="27">
        <f t="shared" si="9"/>
        <v>23.6</v>
      </c>
      <c r="J593" s="20">
        <v>8.6425941036357562E-4</v>
      </c>
      <c r="K593" s="20">
        <v>8.5494341638609524E-4</v>
      </c>
    </row>
    <row r="594" spans="2:11" ht="16.2" x14ac:dyDescent="0.3">
      <c r="B594"/>
      <c r="C594"/>
      <c r="D594" s="19"/>
      <c r="E594" s="27">
        <v>23.64</v>
      </c>
      <c r="F594" s="20">
        <v>4.6724723202022027E-2</v>
      </c>
      <c r="G594" s="20">
        <v>4.666380907833953E-2</v>
      </c>
      <c r="H594" s="19"/>
      <c r="I594" s="27">
        <f t="shared" si="9"/>
        <v>23.64</v>
      </c>
      <c r="J594" s="20">
        <v>8.7202602324486927E-4</v>
      </c>
      <c r="K594" s="20">
        <v>8.6264349518258413E-4</v>
      </c>
    </row>
    <row r="595" spans="2:11" ht="16.2" x14ac:dyDescent="0.3">
      <c r="B595"/>
      <c r="C595"/>
      <c r="D595" s="19"/>
      <c r="E595" s="27">
        <v>23.68</v>
      </c>
      <c r="F595" s="20">
        <v>4.6759604242951822E-2</v>
      </c>
      <c r="G595" s="20">
        <v>4.6698469665946964E-2</v>
      </c>
      <c r="H595" s="19"/>
      <c r="I595" s="27">
        <f t="shared" si="9"/>
        <v>23.68</v>
      </c>
      <c r="J595" s="20">
        <v>8.7984385910046259E-4</v>
      </c>
      <c r="K595" s="20">
        <v>8.7039437950982485E-4</v>
      </c>
    </row>
    <row r="596" spans="2:11" ht="16.2" x14ac:dyDescent="0.3">
      <c r="B596"/>
      <c r="C596"/>
      <c r="D596" s="19"/>
      <c r="E596" s="27">
        <v>23.72</v>
      </c>
      <c r="F596" s="20">
        <v>4.679479799731584E-2</v>
      </c>
      <c r="G596" s="20">
        <v>4.67334413103953E-2</v>
      </c>
      <c r="H596" s="19"/>
      <c r="I596" s="27">
        <f t="shared" si="9"/>
        <v>23.72</v>
      </c>
      <c r="J596" s="20">
        <v>8.8771331101609313E-4</v>
      </c>
      <c r="K596" s="20">
        <v>8.781963909950866E-4</v>
      </c>
    </row>
    <row r="597" spans="2:11" ht="16.2" x14ac:dyDescent="0.3">
      <c r="B597"/>
      <c r="C597"/>
      <c r="D597" s="19"/>
      <c r="E597" s="27">
        <v>23.76</v>
      </c>
      <c r="F597" s="20">
        <v>4.6830306529756484E-2</v>
      </c>
      <c r="G597" s="20">
        <v>4.6768726063247237E-2</v>
      </c>
      <c r="H597" s="19"/>
      <c r="I597" s="27">
        <f t="shared" si="9"/>
        <v>23.76</v>
      </c>
      <c r="J597" s="20">
        <v>8.9563465613742843E-4</v>
      </c>
      <c r="K597" s="20">
        <v>8.8604985407795243E-4</v>
      </c>
    </row>
    <row r="598" spans="2:11" ht="16.2" x14ac:dyDescent="0.3">
      <c r="B598"/>
      <c r="C598"/>
      <c r="D598" s="19"/>
      <c r="E598" s="27">
        <v>23.8</v>
      </c>
      <c r="F598" s="20">
        <v>4.6866131916001981E-2</v>
      </c>
      <c r="G598" s="20">
        <v>4.680432598910568E-2</v>
      </c>
      <c r="H598" s="19"/>
      <c r="I598" s="27">
        <f t="shared" si="9"/>
        <v>23.8</v>
      </c>
      <c r="J598" s="20">
        <v>9.0360824060616018E-4</v>
      </c>
      <c r="K598" s="20">
        <v>8.9395509604418919E-4</v>
      </c>
    </row>
    <row r="599" spans="2:11" ht="16.2" x14ac:dyDescent="0.3">
      <c r="B599"/>
      <c r="C599"/>
      <c r="D599" s="19"/>
      <c r="E599" s="27">
        <v>23.84</v>
      </c>
      <c r="F599" s="20">
        <v>4.6902276245626227E-2</v>
      </c>
      <c r="G599" s="20">
        <v>4.6840243165716854E-2</v>
      </c>
      <c r="H599" s="19"/>
      <c r="I599" s="27">
        <f t="shared" si="9"/>
        <v>23.84</v>
      </c>
      <c r="J599" s="20">
        <v>9.1163441012821755E-4</v>
      </c>
      <c r="K599" s="20">
        <v>9.0191244705798465E-4</v>
      </c>
    </row>
    <row r="600" spans="2:11" ht="16.2" x14ac:dyDescent="0.3">
      <c r="B600"/>
      <c r="C600"/>
      <c r="D600" s="19"/>
      <c r="E600" s="27">
        <v>23.88</v>
      </c>
      <c r="F600" s="20">
        <v>4.6938741622031356E-2</v>
      </c>
      <c r="G600" s="20">
        <v>4.6876479684096896E-2</v>
      </c>
      <c r="H600" s="19"/>
      <c r="I600" s="27">
        <f t="shared" si="9"/>
        <v>23.88</v>
      </c>
      <c r="J600" s="20">
        <v>9.1971348205339282E-4</v>
      </c>
      <c r="K600" s="20">
        <v>9.0992224019702944E-4</v>
      </c>
    </row>
    <row r="601" spans="2:11" ht="16.2" x14ac:dyDescent="0.3">
      <c r="B601"/>
      <c r="C601"/>
      <c r="D601" s="19"/>
      <c r="E601" s="27">
        <v>23.92</v>
      </c>
      <c r="F601" s="20">
        <v>4.6975530161313492E-2</v>
      </c>
      <c r="G601" s="20">
        <v>4.6913037648640202E-2</v>
      </c>
      <c r="H601" s="19"/>
      <c r="I601" s="27">
        <f t="shared" si="9"/>
        <v>23.92</v>
      </c>
      <c r="J601" s="20">
        <v>9.2784581476029054E-4</v>
      </c>
      <c r="K601" s="20">
        <v>9.1798481148586944E-4</v>
      </c>
    </row>
    <row r="602" spans="2:11" ht="16.2" x14ac:dyDescent="0.3">
      <c r="B602"/>
      <c r="C602"/>
      <c r="D602" s="19"/>
      <c r="E602" s="27">
        <v>23.96</v>
      </c>
      <c r="F602" s="20">
        <v>4.7012643993903903E-2</v>
      </c>
      <c r="G602" s="20">
        <v>4.6949919177243088E-2</v>
      </c>
      <c r="H602" s="19"/>
      <c r="I602" s="27">
        <f t="shared" si="9"/>
        <v>23.96</v>
      </c>
      <c r="J602" s="20">
        <v>9.3603173541012552E-4</v>
      </c>
      <c r="K602" s="20">
        <v>9.2610049993124919E-4</v>
      </c>
    </row>
    <row r="603" spans="2:11" ht="16.2" x14ac:dyDescent="0.3">
      <c r="B603"/>
      <c r="C603"/>
      <c r="D603" s="19"/>
      <c r="E603" s="27">
        <v>24</v>
      </c>
      <c r="F603" s="20">
        <v>4.7050085263320308E-2</v>
      </c>
      <c r="G603" s="20">
        <v>4.6987126401421907E-2</v>
      </c>
      <c r="H603" s="19"/>
      <c r="I603" s="27">
        <f t="shared" si="9"/>
        <v>24</v>
      </c>
      <c r="J603" s="20">
        <v>9.442716075476823E-4</v>
      </c>
      <c r="K603" s="20">
        <v>9.3426964755708082E-4</v>
      </c>
    </row>
    <row r="604" spans="2:11" ht="16.2" x14ac:dyDescent="0.3">
      <c r="B604"/>
      <c r="C604"/>
      <c r="D604" s="19"/>
      <c r="E604" s="27">
        <v>24.04</v>
      </c>
      <c r="F604" s="20">
        <v>4.7087856127622216E-2</v>
      </c>
      <c r="G604" s="20">
        <v>4.702466146643642E-2</v>
      </c>
      <c r="H604" s="19"/>
      <c r="I604" s="27">
        <f t="shared" si="9"/>
        <v>24.04</v>
      </c>
      <c r="J604" s="20">
        <v>9.5256577039622842E-4</v>
      </c>
      <c r="K604" s="20">
        <v>9.4249259944042174E-4</v>
      </c>
    </row>
    <row r="605" spans="2:11" ht="16.2" x14ac:dyDescent="0.3">
      <c r="B605"/>
      <c r="C605"/>
      <c r="D605" s="19"/>
      <c r="E605" s="27">
        <v>24.08</v>
      </c>
      <c r="F605" s="20">
        <v>4.7125958758438065E-2</v>
      </c>
      <c r="G605" s="20">
        <v>4.7062526531408064E-2</v>
      </c>
      <c r="H605" s="19"/>
      <c r="I605" s="27">
        <f t="shared" si="9"/>
        <v>24.08</v>
      </c>
      <c r="J605" s="20">
        <v>9.6091456552784699E-4</v>
      </c>
      <c r="K605" s="20">
        <v>9.5076970374706471E-4</v>
      </c>
    </row>
    <row r="606" spans="2:11" ht="16.2" x14ac:dyDescent="0.3">
      <c r="B606"/>
      <c r="C606"/>
      <c r="D606" s="19"/>
      <c r="E606" s="27">
        <v>24.12</v>
      </c>
      <c r="F606" s="20">
        <v>4.7164395341059179E-2</v>
      </c>
      <c r="G606" s="20">
        <v>4.7100723769451118E-2</v>
      </c>
      <c r="H606" s="19"/>
      <c r="I606" s="27">
        <f t="shared" si="9"/>
        <v>24.12</v>
      </c>
      <c r="J606" s="20">
        <v>9.6931838500964596E-4</v>
      </c>
      <c r="K606" s="20">
        <v>9.5910131176919766E-4</v>
      </c>
    </row>
    <row r="607" spans="2:11" ht="16.2" x14ac:dyDescent="0.3">
      <c r="B607"/>
      <c r="C607"/>
      <c r="D607" s="19"/>
      <c r="E607" s="27">
        <v>24.16</v>
      </c>
      <c r="F607" s="20">
        <v>4.7203168076459565E-2</v>
      </c>
      <c r="G607" s="20">
        <v>4.7139255367790442E-2</v>
      </c>
      <c r="H607" s="19"/>
      <c r="I607" s="27">
        <f t="shared" si="9"/>
        <v>24.16</v>
      </c>
      <c r="J607" s="20">
        <v>9.7777753662754013E-4</v>
      </c>
      <c r="K607" s="20">
        <v>9.6748777796144142E-4</v>
      </c>
    </row>
    <row r="608" spans="2:11" ht="16.2" x14ac:dyDescent="0.3">
      <c r="B608"/>
      <c r="C608"/>
      <c r="D608" s="19"/>
      <c r="E608" s="27">
        <v>24.2</v>
      </c>
      <c r="F608" s="20">
        <v>4.7242279177924666E-2</v>
      </c>
      <c r="G608" s="20">
        <v>4.7178123527897617E-2</v>
      </c>
      <c r="H608" s="19"/>
      <c r="I608" s="27">
        <f t="shared" si="9"/>
        <v>24.2</v>
      </c>
      <c r="J608" s="20">
        <v>9.8629243240593717E-4</v>
      </c>
      <c r="K608" s="20">
        <v>9.7592945997954257E-4</v>
      </c>
    </row>
    <row r="609" spans="2:11" ht="16.2" x14ac:dyDescent="0.3">
      <c r="B609"/>
      <c r="C609"/>
      <c r="D609" s="19"/>
      <c r="E609" s="27">
        <v>24.24</v>
      </c>
      <c r="F609" s="20">
        <v>4.7281730875220904E-2</v>
      </c>
      <c r="G609" s="20">
        <v>4.7217330465610573E-2</v>
      </c>
      <c r="H609" s="19"/>
      <c r="I609" s="27">
        <f t="shared" si="9"/>
        <v>24.24</v>
      </c>
      <c r="J609" s="20">
        <v>9.9486340100051612E-4</v>
      </c>
      <c r="K609" s="20">
        <v>9.8442671871765554E-4</v>
      </c>
    </row>
    <row r="610" spans="2:11" ht="16.2" x14ac:dyDescent="0.3">
      <c r="B610"/>
      <c r="C610"/>
      <c r="D610" s="19"/>
      <c r="E610" s="27">
        <v>24.28</v>
      </c>
      <c r="F610" s="20">
        <v>4.7321525411260924E-2</v>
      </c>
      <c r="G610" s="20">
        <v>4.7256878411271873E-2</v>
      </c>
      <c r="H610" s="19"/>
      <c r="I610" s="27">
        <f t="shared" si="9"/>
        <v>24.28</v>
      </c>
      <c r="J610" s="20">
        <v>1.0034908315720292E-3</v>
      </c>
      <c r="K610" s="20">
        <v>9.9297991834776107E-4</v>
      </c>
    </row>
    <row r="611" spans="2:11" ht="16.2" x14ac:dyDescent="0.3">
      <c r="B611"/>
      <c r="C611"/>
      <c r="D611" s="19"/>
      <c r="E611" s="27">
        <v>24.32</v>
      </c>
      <c r="F611" s="20">
        <v>4.7361665044523805E-2</v>
      </c>
      <c r="G611" s="20">
        <v>4.7296769609854933E-2</v>
      </c>
      <c r="H611" s="19"/>
      <c r="I611" s="27">
        <f t="shared" si="9"/>
        <v>24.32</v>
      </c>
      <c r="J611" s="20">
        <v>1.0121750909381638E-3</v>
      </c>
      <c r="K611" s="20">
        <v>1.0015894263582937E-3</v>
      </c>
    </row>
    <row r="612" spans="2:11" ht="16.2" x14ac:dyDescent="0.3">
      <c r="B612"/>
      <c r="C612"/>
      <c r="D612" s="19"/>
      <c r="E612" s="27">
        <v>24.36</v>
      </c>
      <c r="F612" s="20">
        <v>4.7402152048161332E-2</v>
      </c>
      <c r="G612" s="20">
        <v>4.733700632110225E-2</v>
      </c>
      <c r="H612" s="19"/>
      <c r="I612" s="27">
        <f t="shared" si="9"/>
        <v>24.36</v>
      </c>
      <c r="J612" s="20">
        <v>1.0209165511759419E-3</v>
      </c>
      <c r="K612" s="20">
        <v>1.0102556135944292E-3</v>
      </c>
    </row>
    <row r="613" spans="2:11" ht="16.2" x14ac:dyDescent="0.3">
      <c r="B613"/>
      <c r="C613"/>
      <c r="D613" s="19"/>
      <c r="E613" s="27">
        <v>24.4</v>
      </c>
      <c r="F613" s="20">
        <v>4.744298871020837E-2</v>
      </c>
      <c r="G613" s="20">
        <v>4.7377590819654106E-2</v>
      </c>
      <c r="H613" s="19"/>
      <c r="I613" s="27">
        <f t="shared" si="9"/>
        <v>24.4</v>
      </c>
      <c r="J613" s="20">
        <v>1.0297156005272326E-3</v>
      </c>
      <c r="K613" s="20">
        <v>1.0189788542976487E-3</v>
      </c>
    </row>
    <row r="614" spans="2:11" ht="16.2" x14ac:dyDescent="0.3">
      <c r="B614"/>
      <c r="C614"/>
      <c r="D614" s="19"/>
      <c r="E614" s="27">
        <v>24.44</v>
      </c>
      <c r="F614" s="20">
        <v>4.7484177334229459E-2</v>
      </c>
      <c r="G614" s="20">
        <v>4.7418525395192444E-2</v>
      </c>
      <c r="H614" s="19"/>
      <c r="I614" s="27">
        <f t="shared" si="9"/>
        <v>24.44</v>
      </c>
      <c r="J614" s="20">
        <v>1.0385726101085416E-3</v>
      </c>
      <c r="K614" s="20">
        <v>1.0277595261473317E-3</v>
      </c>
    </row>
    <row r="615" spans="2:11" ht="16.2" x14ac:dyDescent="0.3">
      <c r="B615"/>
      <c r="C615"/>
      <c r="D615" s="19"/>
      <c r="E615" s="27">
        <v>24.48</v>
      </c>
      <c r="F615" s="20">
        <v>4.7525720238633801E-2</v>
      </c>
      <c r="G615" s="20">
        <v>4.7459812352575098E-2</v>
      </c>
      <c r="H615" s="19"/>
      <c r="I615" s="27">
        <f t="shared" si="9"/>
        <v>24.48</v>
      </c>
      <c r="J615" s="20">
        <v>1.047487974519673E-3</v>
      </c>
      <c r="K615" s="20">
        <v>1.0365980103016266E-3</v>
      </c>
    </row>
    <row r="616" spans="2:11" ht="16.2" x14ac:dyDescent="0.3">
      <c r="B616"/>
      <c r="C616"/>
      <c r="D616" s="19"/>
      <c r="E616" s="27">
        <v>24.52</v>
      </c>
      <c r="F616" s="20">
        <v>4.7567619757614588E-2</v>
      </c>
      <c r="G616" s="20">
        <v>4.7501454011975926E-2</v>
      </c>
      <c r="H616" s="19"/>
      <c r="I616" s="27">
        <f t="shared" si="9"/>
        <v>24.52</v>
      </c>
      <c r="J616" s="20">
        <v>1.056462078167543E-3</v>
      </c>
      <c r="K616" s="20">
        <v>1.0454946914395232E-3</v>
      </c>
    </row>
    <row r="617" spans="2:11" ht="16.2" x14ac:dyDescent="0.3">
      <c r="B617"/>
      <c r="C617"/>
      <c r="D617" s="19"/>
      <c r="E617" s="27">
        <v>24.56</v>
      </c>
      <c r="F617" s="20">
        <v>4.7609878240741289E-2</v>
      </c>
      <c r="G617" s="20">
        <v>4.7543452709025075E-2</v>
      </c>
      <c r="H617" s="19"/>
      <c r="I617" s="27">
        <f t="shared" si="9"/>
        <v>24.56</v>
      </c>
      <c r="J617" s="20">
        <v>1.0654953196230846E-3</v>
      </c>
      <c r="K617" s="20">
        <v>1.0544499578031526E-3</v>
      </c>
    </row>
    <row r="618" spans="2:11" ht="16.2" x14ac:dyDescent="0.3">
      <c r="B618"/>
      <c r="C618"/>
      <c r="D618" s="19"/>
      <c r="E618" s="27">
        <v>24.6</v>
      </c>
      <c r="F618" s="20">
        <v>4.7652498053526213E-2</v>
      </c>
      <c r="G618" s="20">
        <v>4.7585810794959008E-2</v>
      </c>
      <c r="H618" s="19"/>
      <c r="I618" s="27">
        <f t="shared" si="9"/>
        <v>24.6</v>
      </c>
      <c r="J618" s="20">
        <v>1.0745880990705239E-3</v>
      </c>
      <c r="K618" s="20">
        <v>1.0634642012414641E-3</v>
      </c>
    </row>
    <row r="619" spans="2:11" ht="16.2" x14ac:dyDescent="0.3">
      <c r="B619"/>
      <c r="C619"/>
      <c r="D619" s="19"/>
      <c r="E619" s="27">
        <v>24.64</v>
      </c>
      <c r="F619" s="20">
        <v>4.7695481577489034E-2</v>
      </c>
      <c r="G619" s="20">
        <v>4.762853063675649E-2</v>
      </c>
      <c r="H619" s="19"/>
      <c r="I619" s="27">
        <f t="shared" si="9"/>
        <v>24.64</v>
      </c>
      <c r="J619" s="20">
        <v>1.0837407973009194E-3</v>
      </c>
      <c r="K619" s="20">
        <v>1.0725378172532453E-3</v>
      </c>
    </row>
    <row r="620" spans="2:11" ht="16.2" x14ac:dyDescent="0.3">
      <c r="B620"/>
      <c r="C620"/>
      <c r="D620" s="19"/>
      <c r="E620" s="27">
        <v>24.68</v>
      </c>
      <c r="F620" s="20">
        <v>4.773883120938107E-2</v>
      </c>
      <c r="G620" s="20">
        <v>4.7671614617294425E-2</v>
      </c>
      <c r="H620" s="19"/>
      <c r="I620" s="27">
        <f t="shared" si="9"/>
        <v>24.68</v>
      </c>
      <c r="J620" s="20">
        <v>1.0929538475094175E-3</v>
      </c>
      <c r="K620" s="20">
        <v>1.0816712050318344E-3</v>
      </c>
    </row>
    <row r="621" spans="2:11" ht="16.2" x14ac:dyDescent="0.3">
      <c r="B621"/>
      <c r="C621"/>
      <c r="D621" s="19"/>
      <c r="E621" s="27">
        <v>24.72</v>
      </c>
      <c r="F621" s="20">
        <v>4.7782549363281447E-2</v>
      </c>
      <c r="G621" s="20">
        <v>4.7715065135486769E-2</v>
      </c>
      <c r="H621" s="19"/>
      <c r="I621" s="27">
        <f t="shared" si="9"/>
        <v>24.72</v>
      </c>
      <c r="J621" s="20">
        <v>1.1022276319069477E-3</v>
      </c>
      <c r="K621" s="20">
        <v>1.0908647675095182E-3</v>
      </c>
    </row>
    <row r="622" spans="2:11" ht="16.2" x14ac:dyDescent="0.3">
      <c r="B622"/>
      <c r="C622"/>
      <c r="D622" s="19"/>
      <c r="E622" s="27">
        <v>24.76</v>
      </c>
      <c r="F622" s="20">
        <v>4.7826638468557725E-2</v>
      </c>
      <c r="G622" s="20">
        <v>4.7758884606446061E-2</v>
      </c>
      <c r="H622" s="19"/>
      <c r="I622" s="27">
        <f t="shared" si="9"/>
        <v>24.76</v>
      </c>
      <c r="J622" s="20">
        <v>1.1115625801017687E-3</v>
      </c>
      <c r="K622" s="20">
        <v>1.1001189114037623E-3</v>
      </c>
    </row>
    <row r="623" spans="2:11" ht="16.2" x14ac:dyDescent="0.3">
      <c r="B623"/>
      <c r="C623"/>
      <c r="D623" s="19"/>
      <c r="E623" s="27">
        <v>24.8</v>
      </c>
      <c r="F623" s="20">
        <v>4.7871100971761796E-2</v>
      </c>
      <c r="G623" s="20">
        <v>4.7803075461623726E-2</v>
      </c>
      <c r="H623" s="19"/>
      <c r="I623" s="27">
        <f t="shared" si="9"/>
        <v>24.8</v>
      </c>
      <c r="J623" s="20">
        <v>1.1209591027648569E-3</v>
      </c>
      <c r="K623" s="20">
        <v>1.1094340472624282E-3</v>
      </c>
    </row>
    <row r="624" spans="2:11" ht="16.2" x14ac:dyDescent="0.3">
      <c r="B624"/>
      <c r="C624"/>
      <c r="D624" s="19"/>
      <c r="E624" s="27">
        <v>24.84</v>
      </c>
      <c r="F624" s="20">
        <v>4.791593933587239E-2</v>
      </c>
      <c r="G624" s="20">
        <v>4.7847640148976189E-2</v>
      </c>
      <c r="H624" s="19"/>
      <c r="I624" s="27">
        <f t="shared" si="9"/>
        <v>24.84</v>
      </c>
      <c r="J624" s="20">
        <v>1.1304176158754425E-3</v>
      </c>
      <c r="K624" s="20">
        <v>1.1188105895114354E-3</v>
      </c>
    </row>
    <row r="625" spans="2:11" ht="16.2" x14ac:dyDescent="0.3">
      <c r="B625"/>
      <c r="C625"/>
      <c r="D625" s="19"/>
      <c r="E625" s="27">
        <v>24.88</v>
      </c>
      <c r="F625" s="20">
        <v>4.7961156040507408E-2</v>
      </c>
      <c r="G625" s="20">
        <v>4.789258113311242E-2</v>
      </c>
      <c r="H625" s="19"/>
      <c r="I625" s="27">
        <f t="shared" si="9"/>
        <v>24.88</v>
      </c>
      <c r="J625" s="20">
        <v>1.1399385539867871E-3</v>
      </c>
      <c r="K625" s="20">
        <v>1.1282489565015452E-3</v>
      </c>
    </row>
    <row r="626" spans="2:11" ht="16.2" x14ac:dyDescent="0.3">
      <c r="B626"/>
      <c r="C626"/>
      <c r="D626" s="19"/>
      <c r="E626" s="27">
        <v>24.92</v>
      </c>
      <c r="F626" s="20">
        <v>4.8006753582666879E-2</v>
      </c>
      <c r="G626" s="20">
        <v>4.7937900895456208E-2</v>
      </c>
      <c r="H626" s="19"/>
      <c r="I626" s="27">
        <f t="shared" si="9"/>
        <v>24.92</v>
      </c>
      <c r="J626" s="20">
        <v>1.1495223346313921E-3</v>
      </c>
      <c r="K626" s="20">
        <v>1.1377495705566249E-3</v>
      </c>
    </row>
    <row r="627" spans="2:11" ht="16.2" x14ac:dyDescent="0.3">
      <c r="B627"/>
      <c r="C627"/>
      <c r="D627" s="19"/>
      <c r="E627" s="27">
        <v>24.96</v>
      </c>
      <c r="F627" s="20">
        <v>4.8052734476052135E-2</v>
      </c>
      <c r="G627" s="20">
        <v>4.7983601934400953E-2</v>
      </c>
      <c r="H627" s="19"/>
      <c r="I627" s="27">
        <f t="shared" si="9"/>
        <v>24.96</v>
      </c>
      <c r="J627" s="20">
        <v>1.1519396523357317E-3</v>
      </c>
      <c r="K627" s="20">
        <v>1.1473128580221377E-3</v>
      </c>
    </row>
    <row r="628" spans="2:11" ht="16.2" x14ac:dyDescent="0.3">
      <c r="B628"/>
      <c r="C628"/>
      <c r="D628" s="19"/>
      <c r="E628" s="27">
        <v>25</v>
      </c>
      <c r="F628" s="20">
        <v>4.8098812062145564E-2</v>
      </c>
      <c r="G628" s="20">
        <v>4.8029686765480105E-2</v>
      </c>
      <c r="H628" s="19"/>
      <c r="I628" s="27">
        <f t="shared" si="9"/>
        <v>25</v>
      </c>
      <c r="J628" s="22"/>
      <c r="K628" s="20">
        <v>1.1569392493151671E-3</v>
      </c>
    </row>
    <row r="629" spans="2:11" ht="16.2" x14ac:dyDescent="0.3">
      <c r="B629"/>
      <c r="C629"/>
      <c r="D629" s="19"/>
      <c r="E629" s="19"/>
      <c r="F629" s="22"/>
      <c r="G629" s="22"/>
      <c r="H629" s="19"/>
      <c r="I629" s="27" t="str">
        <f t="shared" si="9"/>
        <v/>
      </c>
      <c r="J629" s="22"/>
      <c r="K629" s="22"/>
    </row>
    <row r="630" spans="2:11" ht="16.2" x14ac:dyDescent="0.3">
      <c r="B630"/>
      <c r="C630"/>
      <c r="D630" s="19"/>
      <c r="E630" s="19"/>
      <c r="F630" s="22"/>
      <c r="G630" s="22"/>
      <c r="H630" s="19"/>
      <c r="I630" s="27" t="str">
        <f t="shared" si="9"/>
        <v/>
      </c>
      <c r="J630" s="22"/>
      <c r="K630" s="22"/>
    </row>
    <row r="631" spans="2:11" ht="16.2" x14ac:dyDescent="0.3">
      <c r="B631"/>
      <c r="C631"/>
      <c r="D631" s="19"/>
      <c r="E631" s="19"/>
      <c r="F631" s="22"/>
      <c r="G631" s="22"/>
      <c r="H631" s="19"/>
      <c r="I631" s="27" t="str">
        <f t="shared" si="9"/>
        <v/>
      </c>
      <c r="J631" s="22"/>
      <c r="K631" s="22"/>
    </row>
    <row r="632" spans="2:11" ht="16.2" x14ac:dyDescent="0.3">
      <c r="B632"/>
      <c r="C632"/>
      <c r="D632" s="2"/>
      <c r="F632"/>
      <c r="G632"/>
      <c r="I632" s="14" t="str">
        <f t="shared" si="9"/>
        <v/>
      </c>
      <c r="J632"/>
      <c r="K632"/>
    </row>
    <row r="633" spans="2:11" ht="16.2" x14ac:dyDescent="0.3">
      <c r="B633"/>
      <c r="C633"/>
      <c r="D633" s="2"/>
      <c r="F633"/>
      <c r="G633"/>
      <c r="I633" s="14" t="str">
        <f t="shared" si="9"/>
        <v/>
      </c>
      <c r="J633"/>
      <c r="K633"/>
    </row>
    <row r="634" spans="2:11" ht="16.2" x14ac:dyDescent="0.3">
      <c r="B634"/>
      <c r="C634"/>
      <c r="D634" s="2"/>
      <c r="F634"/>
      <c r="G634"/>
      <c r="I634" s="14" t="str">
        <f t="shared" si="9"/>
        <v/>
      </c>
      <c r="J634"/>
      <c r="K634"/>
    </row>
    <row r="635" spans="2:11" ht="16.2" x14ac:dyDescent="0.3">
      <c r="B635"/>
      <c r="C635"/>
      <c r="D635" s="2"/>
      <c r="F635"/>
      <c r="G635"/>
      <c r="I635" s="14" t="str">
        <f t="shared" si="9"/>
        <v/>
      </c>
      <c r="J635"/>
      <c r="K635"/>
    </row>
    <row r="636" spans="2:11" ht="16.2" x14ac:dyDescent="0.3">
      <c r="B636"/>
      <c r="C636"/>
      <c r="D636" s="2"/>
      <c r="F636"/>
      <c r="G636"/>
      <c r="I636" s="14" t="str">
        <f t="shared" si="9"/>
        <v/>
      </c>
      <c r="J636"/>
      <c r="K636"/>
    </row>
    <row r="637" spans="2:11" ht="16.2" x14ac:dyDescent="0.3">
      <c r="B637"/>
      <c r="C637"/>
      <c r="D637" s="2"/>
      <c r="F637"/>
      <c r="G637"/>
      <c r="I637" s="14" t="str">
        <f t="shared" si="9"/>
        <v/>
      </c>
      <c r="J637"/>
      <c r="K637"/>
    </row>
    <row r="638" spans="2:11" ht="16.2" x14ac:dyDescent="0.3">
      <c r="B638"/>
      <c r="C638"/>
      <c r="D638" s="2"/>
      <c r="F638"/>
      <c r="G638"/>
      <c r="I638" s="14" t="str">
        <f t="shared" si="9"/>
        <v/>
      </c>
      <c r="J638"/>
      <c r="K638"/>
    </row>
    <row r="639" spans="2:11" ht="16.2" x14ac:dyDescent="0.3">
      <c r="B639"/>
      <c r="C639"/>
      <c r="D639" s="2"/>
      <c r="F639"/>
      <c r="G639"/>
      <c r="I639" s="14" t="str">
        <f t="shared" si="9"/>
        <v/>
      </c>
      <c r="J639"/>
      <c r="K639"/>
    </row>
    <row r="640" spans="2:11" ht="16.2" x14ac:dyDescent="0.3">
      <c r="B640"/>
      <c r="C640"/>
      <c r="D640" s="2"/>
      <c r="F640"/>
      <c r="G640"/>
      <c r="I640" s="14" t="str">
        <f t="shared" si="9"/>
        <v/>
      </c>
      <c r="J640"/>
      <c r="K640"/>
    </row>
    <row r="641" spans="2:11" ht="16.2" x14ac:dyDescent="0.3">
      <c r="B641"/>
      <c r="C641"/>
      <c r="D641" s="2"/>
      <c r="F641"/>
      <c r="G641"/>
      <c r="I641" s="14" t="str">
        <f t="shared" si="9"/>
        <v/>
      </c>
      <c r="J641"/>
      <c r="K641"/>
    </row>
    <row r="642" spans="2:11" ht="16.2" x14ac:dyDescent="0.3">
      <c r="B642"/>
      <c r="C642"/>
      <c r="D642" s="2"/>
      <c r="F642"/>
      <c r="G642"/>
      <c r="I642" s="14" t="str">
        <f t="shared" si="9"/>
        <v/>
      </c>
      <c r="J642"/>
      <c r="K642"/>
    </row>
    <row r="643" spans="2:11" ht="16.2" x14ac:dyDescent="0.3">
      <c r="B643"/>
      <c r="C643"/>
      <c r="D643" s="2"/>
      <c r="F643"/>
      <c r="G643"/>
      <c r="I643" s="14" t="str">
        <f t="shared" si="9"/>
        <v/>
      </c>
      <c r="J643"/>
      <c r="K643"/>
    </row>
    <row r="644" spans="2:11" ht="16.2" x14ac:dyDescent="0.3">
      <c r="B644"/>
      <c r="C644"/>
      <c r="D644" s="2"/>
      <c r="F644"/>
      <c r="G644"/>
      <c r="I644" s="14" t="str">
        <f t="shared" ref="I644:I707" si="10">IF(E644&lt;&gt;"",E644,"")</f>
        <v/>
      </c>
      <c r="J644"/>
      <c r="K644"/>
    </row>
    <row r="645" spans="2:11" ht="16.2" x14ac:dyDescent="0.3">
      <c r="B645"/>
      <c r="C645"/>
      <c r="D645" s="2"/>
      <c r="F645"/>
      <c r="G645"/>
      <c r="I645" s="14" t="str">
        <f t="shared" si="10"/>
        <v/>
      </c>
      <c r="J645"/>
      <c r="K645"/>
    </row>
    <row r="646" spans="2:11" ht="16.2" x14ac:dyDescent="0.3">
      <c r="B646"/>
      <c r="C646"/>
      <c r="D646" s="2"/>
      <c r="F646"/>
      <c r="G646"/>
      <c r="I646" s="14" t="str">
        <f t="shared" si="10"/>
        <v/>
      </c>
      <c r="J646"/>
      <c r="K646"/>
    </row>
    <row r="647" spans="2:11" ht="16.2" x14ac:dyDescent="0.3">
      <c r="B647"/>
      <c r="C647"/>
      <c r="D647" s="2"/>
      <c r="F647"/>
      <c r="G647"/>
      <c r="I647" s="14" t="str">
        <f t="shared" si="10"/>
        <v/>
      </c>
      <c r="J647"/>
      <c r="K647"/>
    </row>
    <row r="648" spans="2:11" ht="16.2" x14ac:dyDescent="0.3">
      <c r="B648"/>
      <c r="C648"/>
      <c r="D648" s="2"/>
      <c r="F648"/>
      <c r="G648"/>
      <c r="I648" s="14" t="str">
        <f t="shared" si="10"/>
        <v/>
      </c>
      <c r="J648"/>
      <c r="K648"/>
    </row>
    <row r="649" spans="2:11" ht="16.2" x14ac:dyDescent="0.3">
      <c r="B649"/>
      <c r="C649"/>
      <c r="D649" s="2"/>
      <c r="F649"/>
      <c r="G649"/>
      <c r="I649" s="14" t="str">
        <f t="shared" si="10"/>
        <v/>
      </c>
      <c r="J649"/>
      <c r="K649"/>
    </row>
    <row r="650" spans="2:11" ht="16.2" x14ac:dyDescent="0.3">
      <c r="B650"/>
      <c r="C650"/>
      <c r="D650" s="2"/>
      <c r="F650"/>
      <c r="G650"/>
      <c r="I650" s="14" t="str">
        <f t="shared" si="10"/>
        <v/>
      </c>
      <c r="J650"/>
      <c r="K650"/>
    </row>
    <row r="651" spans="2:11" ht="16.2" x14ac:dyDescent="0.3">
      <c r="B651"/>
      <c r="C651"/>
      <c r="D651" s="2"/>
      <c r="F651"/>
      <c r="G651"/>
      <c r="I651" s="14" t="str">
        <f t="shared" si="10"/>
        <v/>
      </c>
      <c r="J651"/>
      <c r="K651"/>
    </row>
    <row r="652" spans="2:11" ht="16.2" x14ac:dyDescent="0.3">
      <c r="B652"/>
      <c r="C652"/>
      <c r="D652" s="2"/>
      <c r="F652"/>
      <c r="G652"/>
      <c r="I652" s="14" t="str">
        <f t="shared" si="10"/>
        <v/>
      </c>
      <c r="J652"/>
      <c r="K652"/>
    </row>
    <row r="653" spans="2:11" ht="16.2" x14ac:dyDescent="0.3">
      <c r="B653"/>
      <c r="C653"/>
      <c r="D653" s="2"/>
      <c r="F653"/>
      <c r="G653"/>
      <c r="I653" s="14" t="str">
        <f t="shared" si="10"/>
        <v/>
      </c>
      <c r="J653"/>
      <c r="K653"/>
    </row>
    <row r="654" spans="2:11" ht="16.2" x14ac:dyDescent="0.3">
      <c r="B654"/>
      <c r="C654"/>
      <c r="D654" s="2"/>
      <c r="F654"/>
      <c r="G654"/>
      <c r="I654" s="14" t="str">
        <f t="shared" si="10"/>
        <v/>
      </c>
      <c r="J654"/>
      <c r="K654"/>
    </row>
    <row r="655" spans="2:11" ht="16.2" x14ac:dyDescent="0.3">
      <c r="B655"/>
      <c r="C655"/>
      <c r="D655" s="2"/>
      <c r="F655"/>
      <c r="G655"/>
      <c r="I655" s="14" t="str">
        <f t="shared" si="10"/>
        <v/>
      </c>
      <c r="J655"/>
      <c r="K655"/>
    </row>
    <row r="656" spans="2:11" ht="16.2" x14ac:dyDescent="0.3">
      <c r="B656"/>
      <c r="C656"/>
      <c r="D656" s="2"/>
      <c r="F656"/>
      <c r="G656"/>
      <c r="I656" s="14" t="str">
        <f t="shared" si="10"/>
        <v/>
      </c>
      <c r="J656"/>
      <c r="K656"/>
    </row>
    <row r="657" spans="2:11" ht="16.2" x14ac:dyDescent="0.3">
      <c r="B657"/>
      <c r="C657"/>
      <c r="D657" s="2"/>
      <c r="F657"/>
      <c r="G657"/>
      <c r="I657" s="14" t="str">
        <f t="shared" si="10"/>
        <v/>
      </c>
      <c r="J657"/>
      <c r="K657"/>
    </row>
    <row r="658" spans="2:11" ht="16.2" x14ac:dyDescent="0.3">
      <c r="B658"/>
      <c r="C658"/>
      <c r="D658" s="2"/>
      <c r="F658"/>
      <c r="G658"/>
      <c r="I658" s="14" t="str">
        <f t="shared" si="10"/>
        <v/>
      </c>
      <c r="J658"/>
      <c r="K658"/>
    </row>
    <row r="659" spans="2:11" ht="16.2" x14ac:dyDescent="0.3">
      <c r="B659"/>
      <c r="C659"/>
      <c r="D659" s="2"/>
      <c r="F659"/>
      <c r="G659"/>
      <c r="I659" s="14" t="str">
        <f t="shared" si="10"/>
        <v/>
      </c>
      <c r="J659"/>
      <c r="K659"/>
    </row>
    <row r="660" spans="2:11" ht="16.2" x14ac:dyDescent="0.3">
      <c r="B660"/>
      <c r="C660"/>
      <c r="D660" s="2"/>
      <c r="F660"/>
      <c r="G660"/>
      <c r="I660" s="14" t="str">
        <f t="shared" si="10"/>
        <v/>
      </c>
      <c r="J660"/>
      <c r="K660"/>
    </row>
    <row r="661" spans="2:11" ht="16.2" x14ac:dyDescent="0.3">
      <c r="B661"/>
      <c r="C661"/>
      <c r="D661" s="2"/>
      <c r="F661"/>
      <c r="G661"/>
      <c r="I661" s="14" t="str">
        <f t="shared" si="10"/>
        <v/>
      </c>
      <c r="J661"/>
      <c r="K661"/>
    </row>
    <row r="662" spans="2:11" ht="16.2" x14ac:dyDescent="0.3">
      <c r="B662"/>
      <c r="C662"/>
      <c r="D662" s="2"/>
      <c r="F662"/>
      <c r="G662"/>
      <c r="I662" s="14" t="str">
        <f t="shared" si="10"/>
        <v/>
      </c>
      <c r="J662"/>
      <c r="K662"/>
    </row>
    <row r="663" spans="2:11" ht="16.2" x14ac:dyDescent="0.3">
      <c r="B663"/>
      <c r="C663"/>
      <c r="D663" s="2"/>
      <c r="F663"/>
      <c r="G663"/>
      <c r="I663" s="14" t="str">
        <f t="shared" si="10"/>
        <v/>
      </c>
      <c r="J663"/>
      <c r="K663"/>
    </row>
    <row r="664" spans="2:11" ht="16.2" x14ac:dyDescent="0.3">
      <c r="B664"/>
      <c r="C664"/>
      <c r="D664" s="2"/>
      <c r="F664"/>
      <c r="G664"/>
      <c r="I664" s="14" t="str">
        <f t="shared" si="10"/>
        <v/>
      </c>
      <c r="J664"/>
      <c r="K664"/>
    </row>
    <row r="665" spans="2:11" ht="16.2" x14ac:dyDescent="0.3">
      <c r="B665"/>
      <c r="C665"/>
      <c r="D665" s="2"/>
      <c r="F665"/>
      <c r="G665"/>
      <c r="I665" s="14" t="str">
        <f t="shared" si="10"/>
        <v/>
      </c>
      <c r="J665"/>
      <c r="K665"/>
    </row>
    <row r="666" spans="2:11" ht="16.2" x14ac:dyDescent="0.3">
      <c r="B666"/>
      <c r="C666"/>
      <c r="D666" s="2"/>
      <c r="F666"/>
      <c r="G666"/>
      <c r="I666" s="14" t="str">
        <f t="shared" si="10"/>
        <v/>
      </c>
      <c r="J666"/>
      <c r="K666"/>
    </row>
    <row r="667" spans="2:11" ht="16.2" x14ac:dyDescent="0.3">
      <c r="B667"/>
      <c r="C667"/>
      <c r="D667" s="2"/>
      <c r="F667"/>
      <c r="G667"/>
      <c r="I667" s="14" t="str">
        <f t="shared" si="10"/>
        <v/>
      </c>
      <c r="J667"/>
      <c r="K667"/>
    </row>
    <row r="668" spans="2:11" ht="16.2" x14ac:dyDescent="0.3">
      <c r="B668"/>
      <c r="C668"/>
      <c r="D668" s="2"/>
      <c r="F668"/>
      <c r="G668"/>
      <c r="I668" s="14" t="str">
        <f t="shared" si="10"/>
        <v/>
      </c>
      <c r="J668"/>
      <c r="K668"/>
    </row>
    <row r="669" spans="2:11" ht="16.2" x14ac:dyDescent="0.3">
      <c r="B669"/>
      <c r="C669"/>
      <c r="D669" s="2"/>
      <c r="F669"/>
      <c r="G669"/>
      <c r="I669" s="14" t="str">
        <f t="shared" si="10"/>
        <v/>
      </c>
      <c r="J669"/>
      <c r="K669"/>
    </row>
    <row r="670" spans="2:11" ht="16.2" x14ac:dyDescent="0.3">
      <c r="B670"/>
      <c r="C670"/>
      <c r="D670" s="2"/>
      <c r="F670"/>
      <c r="G670"/>
      <c r="I670" s="14" t="str">
        <f t="shared" si="10"/>
        <v/>
      </c>
      <c r="J670"/>
      <c r="K670"/>
    </row>
    <row r="671" spans="2:11" ht="16.2" x14ac:dyDescent="0.3">
      <c r="B671"/>
      <c r="C671"/>
      <c r="D671" s="2"/>
      <c r="F671"/>
      <c r="G671"/>
      <c r="I671" s="14" t="str">
        <f t="shared" si="10"/>
        <v/>
      </c>
      <c r="J671"/>
      <c r="K671"/>
    </row>
    <row r="672" spans="2:11" ht="16.2" x14ac:dyDescent="0.3">
      <c r="B672"/>
      <c r="C672"/>
      <c r="D672" s="2"/>
      <c r="F672"/>
      <c r="G672"/>
      <c r="I672" s="14" t="str">
        <f t="shared" si="10"/>
        <v/>
      </c>
      <c r="J672"/>
      <c r="K672"/>
    </row>
    <row r="673" spans="2:11" ht="16.2" x14ac:dyDescent="0.3">
      <c r="B673"/>
      <c r="C673"/>
      <c r="D673" s="2"/>
      <c r="F673"/>
      <c r="G673"/>
      <c r="I673" s="14" t="str">
        <f t="shared" si="10"/>
        <v/>
      </c>
      <c r="J673"/>
      <c r="K673"/>
    </row>
    <row r="674" spans="2:11" ht="16.2" x14ac:dyDescent="0.3">
      <c r="B674"/>
      <c r="C674"/>
      <c r="D674" s="2"/>
      <c r="F674"/>
      <c r="G674"/>
      <c r="I674" s="14" t="str">
        <f t="shared" si="10"/>
        <v/>
      </c>
      <c r="J674"/>
      <c r="K674"/>
    </row>
    <row r="675" spans="2:11" ht="16.2" x14ac:dyDescent="0.3">
      <c r="B675"/>
      <c r="C675"/>
      <c r="D675" s="2"/>
      <c r="F675"/>
      <c r="G675"/>
      <c r="I675" s="14" t="str">
        <f t="shared" si="10"/>
        <v/>
      </c>
      <c r="J675"/>
      <c r="K675"/>
    </row>
    <row r="676" spans="2:11" ht="16.2" x14ac:dyDescent="0.3">
      <c r="B676"/>
      <c r="C676"/>
      <c r="D676" s="2"/>
      <c r="F676"/>
      <c r="G676"/>
      <c r="I676" s="14" t="str">
        <f t="shared" si="10"/>
        <v/>
      </c>
      <c r="J676"/>
      <c r="K676"/>
    </row>
    <row r="677" spans="2:11" ht="16.2" x14ac:dyDescent="0.3">
      <c r="B677"/>
      <c r="C677"/>
      <c r="D677" s="2"/>
      <c r="F677"/>
      <c r="G677"/>
      <c r="I677" s="14" t="str">
        <f t="shared" si="10"/>
        <v/>
      </c>
      <c r="J677"/>
      <c r="K677"/>
    </row>
    <row r="678" spans="2:11" ht="16.2" x14ac:dyDescent="0.3">
      <c r="B678"/>
      <c r="C678"/>
      <c r="D678" s="2"/>
      <c r="F678"/>
      <c r="G678"/>
      <c r="I678" s="14" t="str">
        <f t="shared" si="10"/>
        <v/>
      </c>
      <c r="J678"/>
      <c r="K678"/>
    </row>
    <row r="679" spans="2:11" ht="16.2" x14ac:dyDescent="0.3">
      <c r="B679"/>
      <c r="C679"/>
      <c r="D679" s="2"/>
      <c r="F679"/>
      <c r="G679"/>
      <c r="I679" s="14" t="str">
        <f t="shared" si="10"/>
        <v/>
      </c>
      <c r="J679"/>
      <c r="K679"/>
    </row>
    <row r="680" spans="2:11" ht="16.2" x14ac:dyDescent="0.3">
      <c r="B680"/>
      <c r="C680"/>
      <c r="D680" s="2"/>
      <c r="F680"/>
      <c r="G680"/>
      <c r="I680" s="14" t="str">
        <f t="shared" si="10"/>
        <v/>
      </c>
      <c r="J680"/>
      <c r="K680"/>
    </row>
    <row r="681" spans="2:11" ht="16.2" x14ac:dyDescent="0.3">
      <c r="B681"/>
      <c r="C681"/>
      <c r="D681" s="2"/>
      <c r="F681"/>
      <c r="G681"/>
      <c r="I681" s="14" t="str">
        <f t="shared" si="10"/>
        <v/>
      </c>
      <c r="J681"/>
      <c r="K681"/>
    </row>
    <row r="682" spans="2:11" ht="16.2" x14ac:dyDescent="0.3">
      <c r="B682"/>
      <c r="C682"/>
      <c r="D682" s="2"/>
      <c r="F682"/>
      <c r="G682"/>
      <c r="I682" s="14" t="str">
        <f t="shared" si="10"/>
        <v/>
      </c>
      <c r="J682"/>
      <c r="K682"/>
    </row>
    <row r="683" spans="2:11" ht="16.2" x14ac:dyDescent="0.3">
      <c r="B683"/>
      <c r="C683"/>
      <c r="D683" s="2"/>
      <c r="F683"/>
      <c r="G683"/>
      <c r="I683" s="14" t="str">
        <f t="shared" si="10"/>
        <v/>
      </c>
      <c r="J683"/>
      <c r="K683"/>
    </row>
    <row r="684" spans="2:11" ht="16.2" x14ac:dyDescent="0.3">
      <c r="B684"/>
      <c r="C684"/>
      <c r="D684" s="2"/>
      <c r="F684"/>
      <c r="G684"/>
      <c r="I684" s="14" t="str">
        <f t="shared" si="10"/>
        <v/>
      </c>
      <c r="J684"/>
      <c r="K684"/>
    </row>
    <row r="685" spans="2:11" ht="16.2" x14ac:dyDescent="0.3">
      <c r="B685"/>
      <c r="C685"/>
      <c r="D685" s="2"/>
      <c r="F685"/>
      <c r="G685"/>
      <c r="I685" s="14" t="str">
        <f t="shared" si="10"/>
        <v/>
      </c>
      <c r="J685"/>
      <c r="K685"/>
    </row>
    <row r="686" spans="2:11" ht="16.2" x14ac:dyDescent="0.3">
      <c r="B686"/>
      <c r="C686"/>
      <c r="D686" s="2"/>
      <c r="F686"/>
      <c r="G686"/>
      <c r="I686" s="14" t="str">
        <f t="shared" si="10"/>
        <v/>
      </c>
      <c r="J686"/>
      <c r="K686"/>
    </row>
    <row r="687" spans="2:11" ht="16.2" x14ac:dyDescent="0.3">
      <c r="B687"/>
      <c r="C687"/>
      <c r="D687" s="2"/>
      <c r="F687"/>
      <c r="G687"/>
      <c r="I687" s="14" t="str">
        <f t="shared" si="10"/>
        <v/>
      </c>
      <c r="J687"/>
      <c r="K687"/>
    </row>
    <row r="688" spans="2:11" ht="16.2" x14ac:dyDescent="0.3">
      <c r="B688"/>
      <c r="C688"/>
      <c r="D688" s="2"/>
      <c r="F688"/>
      <c r="G688"/>
      <c r="I688" s="14" t="str">
        <f t="shared" si="10"/>
        <v/>
      </c>
      <c r="J688"/>
      <c r="K688"/>
    </row>
    <row r="689" spans="2:11" ht="16.2" x14ac:dyDescent="0.3">
      <c r="B689"/>
      <c r="C689"/>
      <c r="D689" s="2"/>
      <c r="F689"/>
      <c r="G689"/>
      <c r="I689" s="14" t="str">
        <f t="shared" si="10"/>
        <v/>
      </c>
      <c r="J689"/>
      <c r="K689"/>
    </row>
    <row r="690" spans="2:11" ht="16.2" x14ac:dyDescent="0.3">
      <c r="B690"/>
      <c r="C690"/>
      <c r="D690" s="2"/>
      <c r="F690"/>
      <c r="G690"/>
      <c r="I690" s="14" t="str">
        <f t="shared" si="10"/>
        <v/>
      </c>
      <c r="J690"/>
      <c r="K690"/>
    </row>
    <row r="691" spans="2:11" ht="16.2" x14ac:dyDescent="0.3">
      <c r="B691"/>
      <c r="C691"/>
      <c r="D691" s="2"/>
      <c r="F691"/>
      <c r="G691"/>
      <c r="I691" s="14" t="str">
        <f t="shared" si="10"/>
        <v/>
      </c>
      <c r="J691"/>
      <c r="K691"/>
    </row>
    <row r="692" spans="2:11" ht="16.2" x14ac:dyDescent="0.3">
      <c r="B692"/>
      <c r="C692"/>
      <c r="D692" s="2"/>
      <c r="F692"/>
      <c r="G692"/>
      <c r="I692" s="14" t="str">
        <f t="shared" si="10"/>
        <v/>
      </c>
      <c r="J692"/>
      <c r="K692"/>
    </row>
    <row r="693" spans="2:11" ht="16.2" x14ac:dyDescent="0.3">
      <c r="B693"/>
      <c r="C693"/>
      <c r="D693" s="2"/>
      <c r="F693"/>
      <c r="G693"/>
      <c r="I693" s="14" t="str">
        <f t="shared" si="10"/>
        <v/>
      </c>
      <c r="J693"/>
      <c r="K693"/>
    </row>
    <row r="694" spans="2:11" ht="16.2" x14ac:dyDescent="0.3">
      <c r="B694"/>
      <c r="C694"/>
      <c r="D694" s="2"/>
      <c r="F694"/>
      <c r="G694"/>
      <c r="I694" s="14" t="str">
        <f t="shared" si="10"/>
        <v/>
      </c>
      <c r="J694"/>
      <c r="K694"/>
    </row>
    <row r="695" spans="2:11" ht="16.2" x14ac:dyDescent="0.3">
      <c r="B695"/>
      <c r="C695"/>
      <c r="D695" s="2"/>
      <c r="F695"/>
      <c r="G695"/>
      <c r="I695" s="14" t="str">
        <f t="shared" si="10"/>
        <v/>
      </c>
      <c r="J695"/>
      <c r="K695"/>
    </row>
    <row r="696" spans="2:11" ht="16.2" x14ac:dyDescent="0.3">
      <c r="B696"/>
      <c r="C696"/>
      <c r="D696" s="2"/>
      <c r="F696"/>
      <c r="G696"/>
      <c r="I696" s="14" t="str">
        <f t="shared" si="10"/>
        <v/>
      </c>
      <c r="J696"/>
      <c r="K696"/>
    </row>
    <row r="697" spans="2:11" ht="16.2" x14ac:dyDescent="0.3">
      <c r="B697"/>
      <c r="C697"/>
      <c r="D697" s="2"/>
      <c r="F697"/>
      <c r="G697"/>
      <c r="I697" s="14" t="str">
        <f t="shared" si="10"/>
        <v/>
      </c>
      <c r="J697"/>
      <c r="K697"/>
    </row>
    <row r="698" spans="2:11" ht="16.2" x14ac:dyDescent="0.3">
      <c r="B698"/>
      <c r="C698"/>
      <c r="D698" s="2"/>
      <c r="F698"/>
      <c r="G698"/>
      <c r="I698" s="14" t="str">
        <f t="shared" si="10"/>
        <v/>
      </c>
      <c r="J698"/>
      <c r="K698"/>
    </row>
    <row r="699" spans="2:11" ht="16.2" x14ac:dyDescent="0.3">
      <c r="B699"/>
      <c r="C699"/>
      <c r="D699" s="2"/>
      <c r="F699"/>
      <c r="G699"/>
      <c r="I699" s="14" t="str">
        <f t="shared" si="10"/>
        <v/>
      </c>
      <c r="J699"/>
      <c r="K699"/>
    </row>
    <row r="700" spans="2:11" ht="16.2" x14ac:dyDescent="0.3">
      <c r="B700"/>
      <c r="C700"/>
      <c r="D700" s="2"/>
      <c r="F700"/>
      <c r="G700"/>
      <c r="I700" s="14" t="str">
        <f t="shared" si="10"/>
        <v/>
      </c>
      <c r="J700"/>
      <c r="K700"/>
    </row>
    <row r="701" spans="2:11" ht="16.2" x14ac:dyDescent="0.3">
      <c r="B701"/>
      <c r="C701"/>
      <c r="D701" s="2"/>
      <c r="F701"/>
      <c r="G701"/>
      <c r="I701" s="14" t="str">
        <f t="shared" si="10"/>
        <v/>
      </c>
      <c r="J701"/>
      <c r="K701"/>
    </row>
    <row r="702" spans="2:11" ht="16.2" x14ac:dyDescent="0.3">
      <c r="B702"/>
      <c r="C702"/>
      <c r="D702" s="2"/>
      <c r="F702"/>
      <c r="G702"/>
      <c r="I702" s="14" t="str">
        <f t="shared" si="10"/>
        <v/>
      </c>
      <c r="J702"/>
      <c r="K702"/>
    </row>
    <row r="703" spans="2:11" ht="16.2" x14ac:dyDescent="0.3">
      <c r="B703"/>
      <c r="C703"/>
      <c r="D703" s="2"/>
      <c r="F703"/>
      <c r="G703"/>
      <c r="I703" s="14" t="str">
        <f t="shared" si="10"/>
        <v/>
      </c>
      <c r="J703"/>
      <c r="K703"/>
    </row>
    <row r="704" spans="2:11" ht="16.2" x14ac:dyDescent="0.3">
      <c r="B704"/>
      <c r="C704"/>
      <c r="D704" s="2"/>
      <c r="F704"/>
      <c r="G704"/>
      <c r="I704" s="14" t="str">
        <f t="shared" si="10"/>
        <v/>
      </c>
      <c r="J704"/>
      <c r="K704"/>
    </row>
    <row r="705" spans="2:11" ht="16.2" x14ac:dyDescent="0.3">
      <c r="B705"/>
      <c r="C705"/>
      <c r="D705" s="2"/>
      <c r="F705"/>
      <c r="G705"/>
      <c r="I705" s="14" t="str">
        <f t="shared" si="10"/>
        <v/>
      </c>
      <c r="J705"/>
      <c r="K705"/>
    </row>
    <row r="706" spans="2:11" ht="16.2" x14ac:dyDescent="0.3">
      <c r="B706"/>
      <c r="C706"/>
      <c r="D706" s="2"/>
      <c r="F706"/>
      <c r="G706"/>
      <c r="I706" s="14" t="str">
        <f t="shared" si="10"/>
        <v/>
      </c>
      <c r="J706"/>
      <c r="K706"/>
    </row>
    <row r="707" spans="2:11" ht="16.2" x14ac:dyDescent="0.3">
      <c r="B707"/>
      <c r="C707"/>
      <c r="D707" s="2"/>
      <c r="F707"/>
      <c r="G707"/>
      <c r="I707" s="14" t="str">
        <f t="shared" si="10"/>
        <v/>
      </c>
      <c r="J707"/>
      <c r="K707"/>
    </row>
    <row r="708" spans="2:11" ht="16.2" x14ac:dyDescent="0.3">
      <c r="B708"/>
      <c r="C708"/>
      <c r="D708" s="2"/>
      <c r="F708"/>
      <c r="G708"/>
      <c r="I708" s="14" t="str">
        <f t="shared" ref="I708:I771" si="11">IF(E708&lt;&gt;"",E708,"")</f>
        <v/>
      </c>
      <c r="J708"/>
      <c r="K708"/>
    </row>
    <row r="709" spans="2:11" ht="16.2" x14ac:dyDescent="0.3">
      <c r="B709"/>
      <c r="C709"/>
      <c r="D709" s="2"/>
      <c r="F709"/>
      <c r="G709"/>
      <c r="I709" s="14" t="str">
        <f t="shared" si="11"/>
        <v/>
      </c>
      <c r="J709"/>
      <c r="K709"/>
    </row>
    <row r="710" spans="2:11" ht="16.2" x14ac:dyDescent="0.3">
      <c r="B710"/>
      <c r="C710"/>
      <c r="D710" s="2"/>
      <c r="F710"/>
      <c r="G710"/>
      <c r="I710" s="14" t="str">
        <f t="shared" si="11"/>
        <v/>
      </c>
      <c r="J710"/>
      <c r="K710"/>
    </row>
    <row r="711" spans="2:11" ht="16.2" x14ac:dyDescent="0.3">
      <c r="B711"/>
      <c r="C711"/>
      <c r="D711" s="2"/>
      <c r="F711"/>
      <c r="G711"/>
      <c r="I711" s="14" t="str">
        <f t="shared" si="11"/>
        <v/>
      </c>
      <c r="J711"/>
      <c r="K711"/>
    </row>
    <row r="712" spans="2:11" ht="16.2" x14ac:dyDescent="0.3">
      <c r="B712"/>
      <c r="C712"/>
      <c r="D712" s="2"/>
      <c r="F712"/>
      <c r="G712"/>
      <c r="I712" s="14" t="str">
        <f t="shared" si="11"/>
        <v/>
      </c>
      <c r="J712"/>
      <c r="K712"/>
    </row>
    <row r="713" spans="2:11" ht="16.2" x14ac:dyDescent="0.3">
      <c r="B713"/>
      <c r="C713"/>
      <c r="D713" s="2"/>
      <c r="F713"/>
      <c r="G713"/>
      <c r="I713" s="14" t="str">
        <f t="shared" si="11"/>
        <v/>
      </c>
      <c r="J713"/>
      <c r="K713"/>
    </row>
    <row r="714" spans="2:11" ht="16.2" x14ac:dyDescent="0.3">
      <c r="B714"/>
      <c r="C714"/>
      <c r="D714" s="2"/>
      <c r="F714"/>
      <c r="G714"/>
      <c r="I714" s="14" t="str">
        <f t="shared" si="11"/>
        <v/>
      </c>
      <c r="J714"/>
      <c r="K714"/>
    </row>
    <row r="715" spans="2:11" ht="16.2" x14ac:dyDescent="0.3">
      <c r="B715"/>
      <c r="C715"/>
      <c r="D715" s="2"/>
      <c r="F715"/>
      <c r="G715"/>
      <c r="I715" s="14" t="str">
        <f t="shared" si="11"/>
        <v/>
      </c>
      <c r="J715"/>
      <c r="K715"/>
    </row>
    <row r="716" spans="2:11" ht="16.2" x14ac:dyDescent="0.3">
      <c r="B716"/>
      <c r="C716"/>
      <c r="D716" s="2"/>
      <c r="F716"/>
      <c r="G716"/>
      <c r="I716" s="14" t="str">
        <f t="shared" si="11"/>
        <v/>
      </c>
      <c r="J716"/>
      <c r="K716"/>
    </row>
    <row r="717" spans="2:11" ht="16.2" x14ac:dyDescent="0.3">
      <c r="B717"/>
      <c r="C717"/>
      <c r="D717" s="2"/>
      <c r="F717"/>
      <c r="G717"/>
      <c r="I717" s="14" t="str">
        <f t="shared" si="11"/>
        <v/>
      </c>
      <c r="J717"/>
      <c r="K717"/>
    </row>
    <row r="718" spans="2:11" ht="16.2" x14ac:dyDescent="0.3">
      <c r="B718"/>
      <c r="C718"/>
      <c r="D718" s="2"/>
      <c r="F718"/>
      <c r="G718"/>
      <c r="I718" s="14" t="str">
        <f t="shared" si="11"/>
        <v/>
      </c>
      <c r="J718"/>
      <c r="K718"/>
    </row>
    <row r="719" spans="2:11" ht="16.2" x14ac:dyDescent="0.3">
      <c r="B719"/>
      <c r="C719"/>
      <c r="D719" s="2"/>
      <c r="F719"/>
      <c r="G719"/>
      <c r="I719" s="14" t="str">
        <f t="shared" si="11"/>
        <v/>
      </c>
      <c r="J719"/>
      <c r="K719"/>
    </row>
    <row r="720" spans="2:11" ht="16.2" x14ac:dyDescent="0.3">
      <c r="B720"/>
      <c r="C720"/>
      <c r="D720" s="2"/>
      <c r="F720"/>
      <c r="G720"/>
      <c r="I720" s="14" t="str">
        <f t="shared" si="11"/>
        <v/>
      </c>
      <c r="J720"/>
      <c r="K720"/>
    </row>
    <row r="721" spans="2:11" ht="16.2" x14ac:dyDescent="0.3">
      <c r="B721"/>
      <c r="C721"/>
      <c r="D721" s="2"/>
      <c r="F721"/>
      <c r="G721"/>
      <c r="I721" s="14" t="str">
        <f t="shared" si="11"/>
        <v/>
      </c>
      <c r="J721"/>
      <c r="K721"/>
    </row>
    <row r="722" spans="2:11" ht="16.2" x14ac:dyDescent="0.3">
      <c r="B722"/>
      <c r="C722"/>
      <c r="D722" s="2"/>
      <c r="F722"/>
      <c r="G722"/>
      <c r="I722" s="14" t="str">
        <f t="shared" si="11"/>
        <v/>
      </c>
      <c r="J722"/>
      <c r="K722"/>
    </row>
    <row r="723" spans="2:11" ht="16.2" x14ac:dyDescent="0.3">
      <c r="B723"/>
      <c r="C723"/>
      <c r="D723" s="2"/>
      <c r="F723"/>
      <c r="G723"/>
      <c r="I723" s="14" t="str">
        <f t="shared" si="11"/>
        <v/>
      </c>
      <c r="J723"/>
      <c r="K723"/>
    </row>
    <row r="724" spans="2:11" ht="16.2" x14ac:dyDescent="0.3">
      <c r="B724"/>
      <c r="C724"/>
      <c r="D724" s="2"/>
      <c r="F724"/>
      <c r="G724"/>
      <c r="I724" s="14" t="str">
        <f t="shared" si="11"/>
        <v/>
      </c>
      <c r="J724"/>
      <c r="K724"/>
    </row>
    <row r="725" spans="2:11" ht="16.2" x14ac:dyDescent="0.3">
      <c r="B725"/>
      <c r="C725"/>
      <c r="D725" s="2"/>
      <c r="F725"/>
      <c r="G725"/>
      <c r="I725" s="14" t="str">
        <f t="shared" si="11"/>
        <v/>
      </c>
      <c r="J725"/>
      <c r="K725"/>
    </row>
    <row r="726" spans="2:11" ht="16.2" x14ac:dyDescent="0.3">
      <c r="B726"/>
      <c r="C726"/>
      <c r="D726" s="2"/>
      <c r="F726"/>
      <c r="G726"/>
      <c r="I726" s="14" t="str">
        <f t="shared" si="11"/>
        <v/>
      </c>
      <c r="J726"/>
      <c r="K726"/>
    </row>
    <row r="727" spans="2:11" ht="16.2" x14ac:dyDescent="0.3">
      <c r="B727"/>
      <c r="C727"/>
      <c r="D727" s="2"/>
      <c r="F727"/>
      <c r="G727"/>
      <c r="I727" s="14" t="str">
        <f t="shared" si="11"/>
        <v/>
      </c>
      <c r="J727"/>
      <c r="K727"/>
    </row>
    <row r="728" spans="2:11" ht="16.2" x14ac:dyDescent="0.3">
      <c r="B728"/>
      <c r="C728"/>
      <c r="D728" s="2"/>
      <c r="F728"/>
      <c r="G728"/>
      <c r="I728" s="14" t="str">
        <f t="shared" si="11"/>
        <v/>
      </c>
      <c r="J728"/>
      <c r="K728"/>
    </row>
    <row r="729" spans="2:11" ht="16.2" x14ac:dyDescent="0.3">
      <c r="B729"/>
      <c r="C729"/>
      <c r="D729" s="2"/>
      <c r="F729"/>
      <c r="G729"/>
      <c r="I729" s="14" t="str">
        <f t="shared" si="11"/>
        <v/>
      </c>
      <c r="J729"/>
      <c r="K729"/>
    </row>
    <row r="730" spans="2:11" ht="16.2" x14ac:dyDescent="0.3">
      <c r="B730"/>
      <c r="C730"/>
      <c r="D730" s="2"/>
      <c r="F730"/>
      <c r="G730"/>
      <c r="I730" s="14" t="str">
        <f t="shared" si="11"/>
        <v/>
      </c>
      <c r="J730"/>
      <c r="K730"/>
    </row>
    <row r="731" spans="2:11" ht="16.2" x14ac:dyDescent="0.3">
      <c r="B731"/>
      <c r="C731"/>
      <c r="D731" s="2"/>
      <c r="F731"/>
      <c r="G731"/>
      <c r="I731" s="14" t="str">
        <f t="shared" si="11"/>
        <v/>
      </c>
      <c r="J731"/>
      <c r="K731"/>
    </row>
    <row r="732" spans="2:11" ht="16.2" x14ac:dyDescent="0.3">
      <c r="B732"/>
      <c r="C732"/>
      <c r="D732" s="2"/>
      <c r="F732"/>
      <c r="G732"/>
      <c r="I732" s="14" t="str">
        <f t="shared" si="11"/>
        <v/>
      </c>
      <c r="J732"/>
      <c r="K732"/>
    </row>
    <row r="733" spans="2:11" ht="16.2" x14ac:dyDescent="0.3">
      <c r="B733"/>
      <c r="C733"/>
      <c r="D733" s="2"/>
      <c r="F733"/>
      <c r="G733"/>
      <c r="I733" s="14" t="str">
        <f t="shared" si="11"/>
        <v/>
      </c>
      <c r="J733"/>
      <c r="K733"/>
    </row>
    <row r="734" spans="2:11" ht="16.2" x14ac:dyDescent="0.3">
      <c r="B734"/>
      <c r="C734"/>
      <c r="D734" s="2"/>
      <c r="F734"/>
      <c r="G734"/>
      <c r="I734" s="14" t="str">
        <f t="shared" si="11"/>
        <v/>
      </c>
      <c r="J734"/>
      <c r="K734"/>
    </row>
    <row r="735" spans="2:11" ht="16.2" x14ac:dyDescent="0.3">
      <c r="B735"/>
      <c r="C735"/>
      <c r="D735" s="2"/>
      <c r="F735"/>
      <c r="G735"/>
      <c r="I735" s="14" t="str">
        <f t="shared" si="11"/>
        <v/>
      </c>
      <c r="J735"/>
      <c r="K735"/>
    </row>
    <row r="736" spans="2:11" ht="16.2" x14ac:dyDescent="0.3">
      <c r="B736"/>
      <c r="C736"/>
      <c r="D736" s="2"/>
      <c r="F736"/>
      <c r="G736"/>
      <c r="I736" s="14" t="str">
        <f t="shared" si="11"/>
        <v/>
      </c>
      <c r="J736"/>
      <c r="K736"/>
    </row>
    <row r="737" spans="2:11" ht="16.2" x14ac:dyDescent="0.3">
      <c r="B737"/>
      <c r="C737"/>
      <c r="D737" s="2"/>
      <c r="F737"/>
      <c r="G737"/>
      <c r="I737" s="14" t="str">
        <f t="shared" si="11"/>
        <v/>
      </c>
      <c r="J737"/>
      <c r="K737"/>
    </row>
    <row r="738" spans="2:11" ht="16.2" x14ac:dyDescent="0.3">
      <c r="B738"/>
      <c r="C738"/>
      <c r="D738" s="2"/>
      <c r="F738"/>
      <c r="G738"/>
      <c r="I738" s="14" t="str">
        <f t="shared" si="11"/>
        <v/>
      </c>
      <c r="J738"/>
      <c r="K738"/>
    </row>
    <row r="739" spans="2:11" ht="16.2" x14ac:dyDescent="0.3">
      <c r="B739"/>
      <c r="C739"/>
      <c r="D739" s="2"/>
      <c r="F739"/>
      <c r="G739"/>
      <c r="I739" s="14" t="str">
        <f t="shared" si="11"/>
        <v/>
      </c>
      <c r="J739"/>
      <c r="K739"/>
    </row>
    <row r="740" spans="2:11" ht="16.2" x14ac:dyDescent="0.3">
      <c r="B740"/>
      <c r="C740"/>
      <c r="D740" s="2"/>
      <c r="F740"/>
      <c r="G740"/>
      <c r="I740" s="14" t="str">
        <f t="shared" si="11"/>
        <v/>
      </c>
      <c r="J740"/>
      <c r="K740"/>
    </row>
    <row r="741" spans="2:11" ht="16.2" x14ac:dyDescent="0.3">
      <c r="B741"/>
      <c r="C741"/>
      <c r="D741" s="2"/>
      <c r="F741"/>
      <c r="G741"/>
      <c r="I741" s="14" t="str">
        <f t="shared" si="11"/>
        <v/>
      </c>
      <c r="J741"/>
      <c r="K741"/>
    </row>
    <row r="742" spans="2:11" ht="16.2" x14ac:dyDescent="0.3">
      <c r="B742"/>
      <c r="C742"/>
      <c r="D742" s="2"/>
      <c r="F742"/>
      <c r="G742"/>
      <c r="I742" s="14" t="str">
        <f t="shared" si="11"/>
        <v/>
      </c>
      <c r="J742"/>
      <c r="K742"/>
    </row>
    <row r="743" spans="2:11" ht="16.2" x14ac:dyDescent="0.3">
      <c r="B743"/>
      <c r="C743"/>
      <c r="D743" s="2"/>
      <c r="F743"/>
      <c r="G743"/>
      <c r="I743" s="14" t="str">
        <f t="shared" si="11"/>
        <v/>
      </c>
      <c r="J743"/>
      <c r="K743"/>
    </row>
    <row r="744" spans="2:11" ht="16.2" x14ac:dyDescent="0.3">
      <c r="B744"/>
      <c r="C744"/>
      <c r="D744" s="2"/>
      <c r="F744"/>
      <c r="G744"/>
      <c r="I744" s="14" t="str">
        <f t="shared" si="11"/>
        <v/>
      </c>
      <c r="J744"/>
      <c r="K744"/>
    </row>
    <row r="745" spans="2:11" ht="16.2" x14ac:dyDescent="0.3">
      <c r="B745"/>
      <c r="C745"/>
      <c r="D745" s="2"/>
      <c r="F745"/>
      <c r="G745"/>
      <c r="I745" s="14" t="str">
        <f t="shared" si="11"/>
        <v/>
      </c>
      <c r="J745"/>
      <c r="K745"/>
    </row>
    <row r="746" spans="2:11" ht="16.2" x14ac:dyDescent="0.3">
      <c r="B746"/>
      <c r="C746"/>
      <c r="D746" s="2"/>
      <c r="F746"/>
      <c r="G746"/>
      <c r="I746" s="14" t="str">
        <f t="shared" si="11"/>
        <v/>
      </c>
      <c r="J746"/>
      <c r="K746"/>
    </row>
    <row r="747" spans="2:11" ht="16.2" x14ac:dyDescent="0.3">
      <c r="B747"/>
      <c r="C747"/>
      <c r="D747" s="2"/>
      <c r="F747"/>
      <c r="G747"/>
      <c r="I747" s="14" t="str">
        <f t="shared" si="11"/>
        <v/>
      </c>
      <c r="J747"/>
      <c r="K747"/>
    </row>
    <row r="748" spans="2:11" ht="16.2" x14ac:dyDescent="0.3">
      <c r="B748"/>
      <c r="C748"/>
      <c r="D748" s="2"/>
      <c r="F748"/>
      <c r="G748"/>
      <c r="I748" s="14" t="str">
        <f t="shared" si="11"/>
        <v/>
      </c>
      <c r="J748"/>
      <c r="K748"/>
    </row>
    <row r="749" spans="2:11" ht="16.2" x14ac:dyDescent="0.3">
      <c r="B749"/>
      <c r="C749"/>
      <c r="D749" s="2"/>
      <c r="F749"/>
      <c r="G749"/>
      <c r="I749" s="14" t="str">
        <f t="shared" si="11"/>
        <v/>
      </c>
      <c r="J749"/>
      <c r="K749"/>
    </row>
    <row r="750" spans="2:11" ht="16.2" x14ac:dyDescent="0.3">
      <c r="B750"/>
      <c r="C750"/>
      <c r="D750" s="2"/>
      <c r="F750"/>
      <c r="G750"/>
      <c r="I750" s="14" t="str">
        <f t="shared" si="11"/>
        <v/>
      </c>
      <c r="J750"/>
      <c r="K750"/>
    </row>
    <row r="751" spans="2:11" ht="16.2" x14ac:dyDescent="0.3">
      <c r="B751"/>
      <c r="C751"/>
      <c r="D751" s="2"/>
      <c r="F751"/>
      <c r="G751"/>
      <c r="I751" s="14" t="str">
        <f t="shared" si="11"/>
        <v/>
      </c>
      <c r="J751"/>
      <c r="K751"/>
    </row>
    <row r="752" spans="2:11" ht="16.2" x14ac:dyDescent="0.3">
      <c r="B752"/>
      <c r="C752"/>
      <c r="D752" s="2"/>
      <c r="F752"/>
      <c r="G752"/>
      <c r="I752" s="14" t="str">
        <f t="shared" si="11"/>
        <v/>
      </c>
      <c r="J752"/>
      <c r="K752"/>
    </row>
    <row r="753" spans="2:11" ht="16.2" x14ac:dyDescent="0.3">
      <c r="B753"/>
      <c r="C753"/>
      <c r="D753" s="2"/>
      <c r="F753"/>
      <c r="G753"/>
      <c r="I753" s="14" t="str">
        <f t="shared" si="11"/>
        <v/>
      </c>
      <c r="J753"/>
      <c r="K753"/>
    </row>
    <row r="754" spans="2:11" ht="16.2" x14ac:dyDescent="0.3">
      <c r="B754"/>
      <c r="C754"/>
      <c r="D754" s="2"/>
      <c r="F754"/>
      <c r="G754"/>
      <c r="I754" s="14" t="str">
        <f t="shared" si="11"/>
        <v/>
      </c>
      <c r="J754"/>
      <c r="K754"/>
    </row>
    <row r="755" spans="2:11" ht="16.2" x14ac:dyDescent="0.3">
      <c r="B755"/>
      <c r="C755"/>
      <c r="D755" s="2"/>
      <c r="F755"/>
      <c r="G755"/>
      <c r="I755" s="14" t="str">
        <f t="shared" si="11"/>
        <v/>
      </c>
      <c r="J755"/>
      <c r="K755"/>
    </row>
    <row r="756" spans="2:11" ht="16.2" x14ac:dyDescent="0.3">
      <c r="B756"/>
      <c r="C756"/>
      <c r="D756" s="2"/>
      <c r="F756"/>
      <c r="G756"/>
      <c r="I756" s="14" t="str">
        <f t="shared" si="11"/>
        <v/>
      </c>
      <c r="J756"/>
      <c r="K756"/>
    </row>
    <row r="757" spans="2:11" ht="16.2" x14ac:dyDescent="0.3">
      <c r="B757"/>
      <c r="C757"/>
      <c r="D757" s="2"/>
      <c r="F757"/>
      <c r="G757"/>
      <c r="I757" s="14" t="str">
        <f t="shared" si="11"/>
        <v/>
      </c>
      <c r="J757"/>
      <c r="K757"/>
    </row>
    <row r="758" spans="2:11" ht="16.2" x14ac:dyDescent="0.3">
      <c r="B758"/>
      <c r="C758"/>
      <c r="D758" s="2"/>
      <c r="F758"/>
      <c r="G758"/>
      <c r="I758" s="14" t="str">
        <f t="shared" si="11"/>
        <v/>
      </c>
      <c r="J758"/>
      <c r="K758"/>
    </row>
    <row r="759" spans="2:11" ht="16.2" x14ac:dyDescent="0.3">
      <c r="B759"/>
      <c r="C759"/>
      <c r="D759" s="2"/>
      <c r="F759"/>
      <c r="G759"/>
      <c r="I759" s="14" t="str">
        <f t="shared" si="11"/>
        <v/>
      </c>
      <c r="J759"/>
      <c r="K759"/>
    </row>
    <row r="760" spans="2:11" ht="16.2" x14ac:dyDescent="0.3">
      <c r="B760"/>
      <c r="C760"/>
      <c r="D760" s="2"/>
      <c r="F760"/>
      <c r="G760"/>
      <c r="I760" s="14" t="str">
        <f t="shared" si="11"/>
        <v/>
      </c>
      <c r="J760"/>
      <c r="K760"/>
    </row>
    <row r="761" spans="2:11" ht="16.2" x14ac:dyDescent="0.3">
      <c r="B761"/>
      <c r="C761"/>
      <c r="D761" s="2"/>
      <c r="F761"/>
      <c r="G761"/>
      <c r="I761" s="14" t="str">
        <f t="shared" si="11"/>
        <v/>
      </c>
      <c r="J761"/>
      <c r="K761"/>
    </row>
    <row r="762" spans="2:11" ht="16.2" x14ac:dyDescent="0.3">
      <c r="B762"/>
      <c r="C762"/>
      <c r="D762" s="2"/>
      <c r="F762"/>
      <c r="G762"/>
      <c r="I762" s="14" t="str">
        <f t="shared" si="11"/>
        <v/>
      </c>
      <c r="J762"/>
      <c r="K762"/>
    </row>
    <row r="763" spans="2:11" ht="16.2" x14ac:dyDescent="0.3">
      <c r="B763"/>
      <c r="C763"/>
      <c r="D763" s="2"/>
      <c r="F763"/>
      <c r="G763"/>
      <c r="I763" s="14" t="str">
        <f t="shared" si="11"/>
        <v/>
      </c>
      <c r="J763"/>
      <c r="K763"/>
    </row>
    <row r="764" spans="2:11" ht="16.2" x14ac:dyDescent="0.3">
      <c r="B764"/>
      <c r="C764"/>
      <c r="D764" s="2"/>
      <c r="F764"/>
      <c r="G764"/>
      <c r="I764" s="14" t="str">
        <f t="shared" si="11"/>
        <v/>
      </c>
      <c r="J764"/>
      <c r="K764"/>
    </row>
    <row r="765" spans="2:11" ht="16.2" x14ac:dyDescent="0.3">
      <c r="B765"/>
      <c r="C765"/>
      <c r="D765" s="2"/>
      <c r="F765"/>
      <c r="G765"/>
      <c r="I765" s="14" t="str">
        <f t="shared" si="11"/>
        <v/>
      </c>
      <c r="J765"/>
      <c r="K765"/>
    </row>
    <row r="766" spans="2:11" ht="16.2" x14ac:dyDescent="0.3">
      <c r="B766"/>
      <c r="C766"/>
      <c r="D766" s="2"/>
      <c r="F766"/>
      <c r="G766"/>
      <c r="I766" s="14" t="str">
        <f t="shared" si="11"/>
        <v/>
      </c>
      <c r="J766"/>
      <c r="K766"/>
    </row>
    <row r="767" spans="2:11" ht="16.2" x14ac:dyDescent="0.3">
      <c r="B767"/>
      <c r="C767"/>
      <c r="D767" s="2"/>
      <c r="F767"/>
      <c r="G767"/>
      <c r="I767" s="14" t="str">
        <f t="shared" si="11"/>
        <v/>
      </c>
      <c r="J767"/>
      <c r="K767"/>
    </row>
    <row r="768" spans="2:11" ht="16.2" x14ac:dyDescent="0.3">
      <c r="B768"/>
      <c r="C768"/>
      <c r="D768" s="2"/>
      <c r="F768"/>
      <c r="G768"/>
      <c r="I768" s="14" t="str">
        <f t="shared" si="11"/>
        <v/>
      </c>
      <c r="J768"/>
      <c r="K768"/>
    </row>
    <row r="769" spans="2:11" ht="16.2" x14ac:dyDescent="0.3">
      <c r="B769"/>
      <c r="C769"/>
      <c r="D769" s="2"/>
      <c r="F769"/>
      <c r="G769"/>
      <c r="I769" s="14" t="str">
        <f t="shared" si="11"/>
        <v/>
      </c>
      <c r="J769"/>
      <c r="K769"/>
    </row>
    <row r="770" spans="2:11" ht="16.2" x14ac:dyDescent="0.3">
      <c r="B770"/>
      <c r="C770"/>
      <c r="D770" s="2"/>
      <c r="F770"/>
      <c r="G770"/>
      <c r="I770" s="14" t="str">
        <f t="shared" si="11"/>
        <v/>
      </c>
      <c r="J770"/>
      <c r="K770"/>
    </row>
    <row r="771" spans="2:11" ht="16.2" x14ac:dyDescent="0.3">
      <c r="B771"/>
      <c r="C771"/>
      <c r="D771" s="2"/>
      <c r="F771"/>
      <c r="G771"/>
      <c r="I771" s="14" t="str">
        <f t="shared" si="11"/>
        <v/>
      </c>
      <c r="J771"/>
      <c r="K771"/>
    </row>
    <row r="772" spans="2:11" ht="16.2" x14ac:dyDescent="0.3">
      <c r="B772"/>
      <c r="C772"/>
      <c r="D772" s="2"/>
      <c r="F772"/>
      <c r="G772"/>
      <c r="I772" s="14" t="str">
        <f t="shared" ref="I772:I835" si="12">IF(E772&lt;&gt;"",E772,"")</f>
        <v/>
      </c>
      <c r="J772"/>
      <c r="K772"/>
    </row>
    <row r="773" spans="2:11" ht="16.2" x14ac:dyDescent="0.3">
      <c r="B773"/>
      <c r="C773"/>
      <c r="D773" s="2"/>
      <c r="F773"/>
      <c r="G773"/>
      <c r="I773" s="14" t="str">
        <f t="shared" si="12"/>
        <v/>
      </c>
      <c r="J773"/>
      <c r="K773"/>
    </row>
    <row r="774" spans="2:11" ht="16.2" x14ac:dyDescent="0.3">
      <c r="B774"/>
      <c r="C774"/>
      <c r="D774" s="2"/>
      <c r="F774"/>
      <c r="G774"/>
      <c r="I774" s="14" t="str">
        <f t="shared" si="12"/>
        <v/>
      </c>
      <c r="J774"/>
      <c r="K774"/>
    </row>
    <row r="775" spans="2:11" ht="16.2" x14ac:dyDescent="0.3">
      <c r="B775"/>
      <c r="C775"/>
      <c r="D775" s="2"/>
      <c r="F775"/>
      <c r="G775"/>
      <c r="I775" s="14" t="str">
        <f t="shared" si="12"/>
        <v/>
      </c>
      <c r="J775"/>
      <c r="K775"/>
    </row>
    <row r="776" spans="2:11" ht="16.2" x14ac:dyDescent="0.3">
      <c r="B776"/>
      <c r="C776"/>
      <c r="D776" s="2"/>
      <c r="F776"/>
      <c r="G776"/>
      <c r="I776" s="14" t="str">
        <f t="shared" si="12"/>
        <v/>
      </c>
      <c r="J776"/>
      <c r="K776"/>
    </row>
    <row r="777" spans="2:11" ht="16.2" x14ac:dyDescent="0.3">
      <c r="B777"/>
      <c r="C777"/>
      <c r="D777" s="2"/>
      <c r="F777"/>
      <c r="G777"/>
      <c r="I777" s="14" t="str">
        <f t="shared" si="12"/>
        <v/>
      </c>
      <c r="J777"/>
      <c r="K777"/>
    </row>
    <row r="778" spans="2:11" ht="16.2" x14ac:dyDescent="0.3">
      <c r="B778"/>
      <c r="C778"/>
      <c r="D778" s="2"/>
      <c r="F778"/>
      <c r="G778"/>
      <c r="I778" s="14" t="str">
        <f t="shared" si="12"/>
        <v/>
      </c>
      <c r="J778"/>
      <c r="K778"/>
    </row>
    <row r="779" spans="2:11" ht="16.2" x14ac:dyDescent="0.3">
      <c r="B779"/>
      <c r="C779"/>
      <c r="D779" s="2"/>
      <c r="F779"/>
      <c r="G779"/>
      <c r="I779" s="14" t="str">
        <f t="shared" si="12"/>
        <v/>
      </c>
      <c r="J779"/>
      <c r="K779"/>
    </row>
    <row r="780" spans="2:11" ht="16.2" x14ac:dyDescent="0.3">
      <c r="B780"/>
      <c r="C780"/>
      <c r="D780" s="2"/>
      <c r="F780"/>
      <c r="G780"/>
      <c r="I780" s="14" t="str">
        <f t="shared" si="12"/>
        <v/>
      </c>
      <c r="J780"/>
      <c r="K780"/>
    </row>
    <row r="781" spans="2:11" ht="16.2" x14ac:dyDescent="0.3">
      <c r="B781"/>
      <c r="C781"/>
      <c r="D781" s="2"/>
      <c r="F781"/>
      <c r="G781"/>
      <c r="I781" s="14" t="str">
        <f t="shared" si="12"/>
        <v/>
      </c>
      <c r="J781"/>
      <c r="K781"/>
    </row>
    <row r="782" spans="2:11" ht="16.2" x14ac:dyDescent="0.3">
      <c r="B782"/>
      <c r="C782"/>
      <c r="D782" s="2"/>
      <c r="F782"/>
      <c r="G782"/>
      <c r="I782" s="14" t="str">
        <f t="shared" si="12"/>
        <v/>
      </c>
      <c r="J782"/>
      <c r="K782"/>
    </row>
    <row r="783" spans="2:11" ht="16.2" x14ac:dyDescent="0.3">
      <c r="B783"/>
      <c r="C783"/>
      <c r="D783" s="2"/>
      <c r="F783"/>
      <c r="G783"/>
      <c r="I783" s="14" t="str">
        <f t="shared" si="12"/>
        <v/>
      </c>
      <c r="J783"/>
      <c r="K783"/>
    </row>
    <row r="784" spans="2:11" ht="16.2" x14ac:dyDescent="0.3">
      <c r="B784"/>
      <c r="C784"/>
      <c r="D784" s="2"/>
      <c r="F784"/>
      <c r="G784"/>
      <c r="I784" s="14" t="str">
        <f t="shared" si="12"/>
        <v/>
      </c>
      <c r="J784"/>
      <c r="K784"/>
    </row>
    <row r="785" spans="2:11" ht="16.2" x14ac:dyDescent="0.3">
      <c r="B785"/>
      <c r="C785"/>
      <c r="D785" s="2"/>
      <c r="F785"/>
      <c r="G785"/>
      <c r="I785" s="14" t="str">
        <f t="shared" si="12"/>
        <v/>
      </c>
      <c r="J785"/>
      <c r="K785"/>
    </row>
    <row r="786" spans="2:11" ht="16.2" x14ac:dyDescent="0.3">
      <c r="B786"/>
      <c r="C786"/>
      <c r="D786" s="2"/>
      <c r="F786"/>
      <c r="G786"/>
      <c r="I786" s="14" t="str">
        <f t="shared" si="12"/>
        <v/>
      </c>
      <c r="J786"/>
      <c r="K786"/>
    </row>
    <row r="787" spans="2:11" ht="16.2" x14ac:dyDescent="0.3">
      <c r="B787"/>
      <c r="C787"/>
      <c r="D787" s="2"/>
      <c r="F787"/>
      <c r="G787"/>
      <c r="I787" s="14" t="str">
        <f t="shared" si="12"/>
        <v/>
      </c>
      <c r="J787"/>
      <c r="K787"/>
    </row>
    <row r="788" spans="2:11" ht="16.2" x14ac:dyDescent="0.3">
      <c r="B788"/>
      <c r="C788"/>
      <c r="D788" s="2"/>
      <c r="F788"/>
      <c r="G788"/>
      <c r="I788" s="14" t="str">
        <f t="shared" si="12"/>
        <v/>
      </c>
      <c r="J788"/>
      <c r="K788"/>
    </row>
    <row r="789" spans="2:11" ht="16.2" x14ac:dyDescent="0.3">
      <c r="B789"/>
      <c r="C789"/>
      <c r="D789" s="2"/>
      <c r="F789"/>
      <c r="G789"/>
      <c r="I789" s="14" t="str">
        <f t="shared" si="12"/>
        <v/>
      </c>
      <c r="J789"/>
      <c r="K789"/>
    </row>
    <row r="790" spans="2:11" ht="16.2" x14ac:dyDescent="0.3">
      <c r="B790"/>
      <c r="C790"/>
      <c r="D790" s="2"/>
      <c r="F790"/>
      <c r="G790"/>
      <c r="I790" s="14" t="str">
        <f t="shared" si="12"/>
        <v/>
      </c>
      <c r="J790"/>
      <c r="K790"/>
    </row>
    <row r="791" spans="2:11" ht="16.2" x14ac:dyDescent="0.3">
      <c r="B791"/>
      <c r="C791"/>
      <c r="D791" s="2"/>
      <c r="F791"/>
      <c r="G791"/>
      <c r="I791" s="14" t="str">
        <f t="shared" si="12"/>
        <v/>
      </c>
      <c r="J791"/>
      <c r="K791"/>
    </row>
    <row r="792" spans="2:11" ht="16.2" x14ac:dyDescent="0.3">
      <c r="B792"/>
      <c r="C792"/>
      <c r="D792" s="2"/>
      <c r="F792"/>
      <c r="G792"/>
      <c r="I792" s="14" t="str">
        <f t="shared" si="12"/>
        <v/>
      </c>
      <c r="J792"/>
      <c r="K792"/>
    </row>
    <row r="793" spans="2:11" ht="16.2" x14ac:dyDescent="0.3">
      <c r="B793"/>
      <c r="C793"/>
      <c r="D793" s="2"/>
      <c r="F793"/>
      <c r="G793"/>
      <c r="I793" s="14" t="str">
        <f t="shared" si="12"/>
        <v/>
      </c>
      <c r="J793"/>
      <c r="K793"/>
    </row>
    <row r="794" spans="2:11" ht="16.2" x14ac:dyDescent="0.3">
      <c r="B794"/>
      <c r="C794"/>
      <c r="D794" s="2"/>
      <c r="F794"/>
      <c r="G794"/>
      <c r="I794" s="14" t="str">
        <f t="shared" si="12"/>
        <v/>
      </c>
      <c r="J794"/>
      <c r="K794"/>
    </row>
    <row r="795" spans="2:11" ht="16.2" x14ac:dyDescent="0.3">
      <c r="B795"/>
      <c r="C795"/>
      <c r="D795" s="2"/>
      <c r="F795"/>
      <c r="G795"/>
      <c r="I795" s="14" t="str">
        <f t="shared" si="12"/>
        <v/>
      </c>
      <c r="J795"/>
      <c r="K795"/>
    </row>
    <row r="796" spans="2:11" ht="16.2" x14ac:dyDescent="0.3">
      <c r="B796"/>
      <c r="C796"/>
      <c r="D796" s="2"/>
      <c r="F796"/>
      <c r="G796"/>
      <c r="I796" s="14" t="str">
        <f t="shared" si="12"/>
        <v/>
      </c>
      <c r="J796"/>
      <c r="K796"/>
    </row>
    <row r="797" spans="2:11" ht="16.2" x14ac:dyDescent="0.3">
      <c r="B797"/>
      <c r="C797"/>
      <c r="D797" s="2"/>
      <c r="F797"/>
      <c r="G797"/>
      <c r="I797" s="14" t="str">
        <f t="shared" si="12"/>
        <v/>
      </c>
      <c r="J797"/>
      <c r="K797"/>
    </row>
    <row r="798" spans="2:11" ht="16.2" x14ac:dyDescent="0.3">
      <c r="B798"/>
      <c r="C798"/>
      <c r="D798" s="2"/>
      <c r="F798"/>
      <c r="G798"/>
      <c r="I798" s="14" t="str">
        <f t="shared" si="12"/>
        <v/>
      </c>
      <c r="J798"/>
      <c r="K798"/>
    </row>
    <row r="799" spans="2:11" ht="16.2" x14ac:dyDescent="0.3">
      <c r="B799"/>
      <c r="C799"/>
      <c r="D799" s="2"/>
      <c r="F799"/>
      <c r="G799"/>
      <c r="I799" s="14" t="str">
        <f t="shared" si="12"/>
        <v/>
      </c>
      <c r="J799"/>
      <c r="K799"/>
    </row>
    <row r="800" spans="2:11" ht="16.2" x14ac:dyDescent="0.3">
      <c r="B800"/>
      <c r="C800"/>
      <c r="D800" s="2"/>
      <c r="F800"/>
      <c r="G800"/>
      <c r="I800" s="14" t="str">
        <f t="shared" si="12"/>
        <v/>
      </c>
      <c r="J800"/>
      <c r="K800"/>
    </row>
    <row r="801" spans="2:11" ht="16.2" x14ac:dyDescent="0.3">
      <c r="B801"/>
      <c r="C801"/>
      <c r="D801" s="2"/>
      <c r="F801"/>
      <c r="G801"/>
      <c r="I801" s="14" t="str">
        <f t="shared" si="12"/>
        <v/>
      </c>
      <c r="J801"/>
      <c r="K801"/>
    </row>
    <row r="802" spans="2:11" ht="16.2" x14ac:dyDescent="0.3">
      <c r="B802"/>
      <c r="C802"/>
      <c r="D802" s="2"/>
      <c r="F802"/>
      <c r="G802"/>
      <c r="I802" s="14" t="str">
        <f t="shared" si="12"/>
        <v/>
      </c>
      <c r="J802"/>
      <c r="K802"/>
    </row>
    <row r="803" spans="2:11" ht="16.2" x14ac:dyDescent="0.3">
      <c r="B803"/>
      <c r="C803"/>
      <c r="D803" s="2"/>
      <c r="F803"/>
      <c r="G803"/>
      <c r="I803" s="14" t="str">
        <f t="shared" si="12"/>
        <v/>
      </c>
      <c r="J803"/>
      <c r="K803"/>
    </row>
    <row r="804" spans="2:11" ht="16.2" x14ac:dyDescent="0.3">
      <c r="B804"/>
      <c r="C804"/>
      <c r="D804" s="2"/>
      <c r="F804"/>
      <c r="G804"/>
      <c r="I804" s="14" t="str">
        <f t="shared" si="12"/>
        <v/>
      </c>
      <c r="J804"/>
      <c r="K804"/>
    </row>
    <row r="805" spans="2:11" ht="16.2" x14ac:dyDescent="0.3">
      <c r="B805"/>
      <c r="C805"/>
      <c r="D805" s="2"/>
      <c r="F805"/>
      <c r="G805"/>
      <c r="I805" s="14" t="str">
        <f t="shared" si="12"/>
        <v/>
      </c>
      <c r="J805"/>
      <c r="K805"/>
    </row>
    <row r="806" spans="2:11" ht="16.2" x14ac:dyDescent="0.3">
      <c r="B806"/>
      <c r="C806"/>
      <c r="D806" s="2"/>
      <c r="F806"/>
      <c r="G806"/>
      <c r="I806" s="14" t="str">
        <f t="shared" si="12"/>
        <v/>
      </c>
      <c r="J806"/>
      <c r="K806"/>
    </row>
    <row r="807" spans="2:11" ht="16.2" x14ac:dyDescent="0.3">
      <c r="B807"/>
      <c r="C807"/>
      <c r="D807" s="2"/>
      <c r="F807"/>
      <c r="G807"/>
      <c r="I807" s="14" t="str">
        <f t="shared" si="12"/>
        <v/>
      </c>
      <c r="J807"/>
      <c r="K807"/>
    </row>
    <row r="808" spans="2:11" ht="16.2" x14ac:dyDescent="0.3">
      <c r="B808"/>
      <c r="C808"/>
      <c r="D808" s="2"/>
      <c r="F808"/>
      <c r="G808"/>
      <c r="I808" s="14" t="str">
        <f t="shared" si="12"/>
        <v/>
      </c>
      <c r="J808"/>
      <c r="K808"/>
    </row>
    <row r="809" spans="2:11" ht="16.2" x14ac:dyDescent="0.3">
      <c r="B809"/>
      <c r="C809"/>
      <c r="D809" s="2"/>
      <c r="F809"/>
      <c r="G809"/>
      <c r="I809" s="14" t="str">
        <f t="shared" si="12"/>
        <v/>
      </c>
      <c r="J809"/>
      <c r="K809"/>
    </row>
    <row r="810" spans="2:11" ht="16.2" x14ac:dyDescent="0.3">
      <c r="B810"/>
      <c r="C810"/>
      <c r="D810" s="2"/>
      <c r="F810"/>
      <c r="G810"/>
      <c r="I810" s="14" t="str">
        <f t="shared" si="12"/>
        <v/>
      </c>
      <c r="J810"/>
      <c r="K810"/>
    </row>
    <row r="811" spans="2:11" ht="16.2" x14ac:dyDescent="0.3">
      <c r="B811"/>
      <c r="C811"/>
      <c r="D811" s="2"/>
      <c r="F811"/>
      <c r="G811"/>
      <c r="I811" s="14" t="str">
        <f t="shared" si="12"/>
        <v/>
      </c>
      <c r="J811"/>
      <c r="K811"/>
    </row>
    <row r="812" spans="2:11" ht="16.2" x14ac:dyDescent="0.3">
      <c r="B812"/>
      <c r="C812"/>
      <c r="D812" s="2"/>
      <c r="F812"/>
      <c r="G812"/>
      <c r="I812" s="14" t="str">
        <f t="shared" si="12"/>
        <v/>
      </c>
      <c r="J812"/>
      <c r="K812"/>
    </row>
    <row r="813" spans="2:11" ht="16.2" x14ac:dyDescent="0.3">
      <c r="B813"/>
      <c r="C813"/>
      <c r="D813" s="2"/>
      <c r="F813"/>
      <c r="G813"/>
      <c r="I813" s="14" t="str">
        <f t="shared" si="12"/>
        <v/>
      </c>
      <c r="J813"/>
      <c r="K813"/>
    </row>
    <row r="814" spans="2:11" ht="16.2" x14ac:dyDescent="0.3">
      <c r="B814"/>
      <c r="C814"/>
      <c r="D814" s="2"/>
      <c r="F814"/>
      <c r="G814"/>
      <c r="I814" s="14" t="str">
        <f t="shared" si="12"/>
        <v/>
      </c>
      <c r="J814"/>
      <c r="K814"/>
    </row>
    <row r="815" spans="2:11" ht="16.2" x14ac:dyDescent="0.3">
      <c r="B815"/>
      <c r="C815"/>
      <c r="D815" s="2"/>
      <c r="F815"/>
      <c r="G815"/>
      <c r="I815" s="14" t="str">
        <f t="shared" si="12"/>
        <v/>
      </c>
      <c r="J815"/>
      <c r="K815"/>
    </row>
    <row r="816" spans="2:11" ht="16.2" x14ac:dyDescent="0.3">
      <c r="B816"/>
      <c r="C816"/>
      <c r="D816" s="2"/>
      <c r="F816"/>
      <c r="G816"/>
      <c r="I816" s="14" t="str">
        <f t="shared" si="12"/>
        <v/>
      </c>
      <c r="J816"/>
      <c r="K816"/>
    </row>
    <row r="817" spans="2:11" ht="16.2" x14ac:dyDescent="0.3">
      <c r="B817"/>
      <c r="C817"/>
      <c r="D817" s="2"/>
      <c r="F817"/>
      <c r="G817"/>
      <c r="I817" s="14" t="str">
        <f t="shared" si="12"/>
        <v/>
      </c>
      <c r="J817"/>
      <c r="K817"/>
    </row>
    <row r="818" spans="2:11" ht="16.2" x14ac:dyDescent="0.3">
      <c r="B818"/>
      <c r="C818"/>
      <c r="D818" s="2"/>
      <c r="F818"/>
      <c r="G818"/>
      <c r="I818" s="14" t="str">
        <f t="shared" si="12"/>
        <v/>
      </c>
      <c r="J818"/>
      <c r="K818"/>
    </row>
    <row r="819" spans="2:11" ht="16.2" x14ac:dyDescent="0.3">
      <c r="B819"/>
      <c r="C819"/>
      <c r="D819" s="2"/>
      <c r="F819"/>
      <c r="G819"/>
      <c r="I819" s="14" t="str">
        <f t="shared" si="12"/>
        <v/>
      </c>
      <c r="J819"/>
      <c r="K819"/>
    </row>
    <row r="820" spans="2:11" ht="16.2" x14ac:dyDescent="0.3">
      <c r="B820"/>
      <c r="C820"/>
      <c r="D820" s="2"/>
      <c r="F820"/>
      <c r="G820"/>
      <c r="I820" s="14" t="str">
        <f t="shared" si="12"/>
        <v/>
      </c>
      <c r="J820"/>
      <c r="K820"/>
    </row>
    <row r="821" spans="2:11" ht="16.2" x14ac:dyDescent="0.3">
      <c r="B821"/>
      <c r="C821"/>
      <c r="D821" s="2"/>
      <c r="F821"/>
      <c r="G821"/>
      <c r="I821" s="14" t="str">
        <f t="shared" si="12"/>
        <v/>
      </c>
      <c r="J821"/>
      <c r="K821"/>
    </row>
    <row r="822" spans="2:11" ht="16.2" x14ac:dyDescent="0.3">
      <c r="B822"/>
      <c r="C822"/>
      <c r="D822" s="2"/>
      <c r="F822"/>
      <c r="G822"/>
      <c r="I822" s="14" t="str">
        <f t="shared" si="12"/>
        <v/>
      </c>
      <c r="J822"/>
      <c r="K822"/>
    </row>
    <row r="823" spans="2:11" ht="16.2" x14ac:dyDescent="0.3">
      <c r="B823"/>
      <c r="C823"/>
      <c r="D823" s="2"/>
      <c r="F823"/>
      <c r="G823"/>
      <c r="I823" s="14" t="str">
        <f t="shared" si="12"/>
        <v/>
      </c>
      <c r="J823"/>
      <c r="K823"/>
    </row>
    <row r="824" spans="2:11" ht="16.2" x14ac:dyDescent="0.3">
      <c r="B824"/>
      <c r="C824"/>
      <c r="D824" s="2"/>
      <c r="F824"/>
      <c r="G824"/>
      <c r="I824" s="14" t="str">
        <f t="shared" si="12"/>
        <v/>
      </c>
      <c r="J824"/>
      <c r="K824"/>
    </row>
    <row r="825" spans="2:11" ht="16.2" x14ac:dyDescent="0.3">
      <c r="B825"/>
      <c r="C825"/>
      <c r="D825" s="2"/>
      <c r="F825"/>
      <c r="G825"/>
      <c r="I825" s="14" t="str">
        <f t="shared" si="12"/>
        <v/>
      </c>
      <c r="J825"/>
      <c r="K825"/>
    </row>
    <row r="826" spans="2:11" ht="16.2" x14ac:dyDescent="0.3">
      <c r="B826"/>
      <c r="C826"/>
      <c r="D826" s="2"/>
      <c r="F826"/>
      <c r="G826"/>
      <c r="I826" s="14" t="str">
        <f t="shared" si="12"/>
        <v/>
      </c>
      <c r="J826"/>
      <c r="K826"/>
    </row>
    <row r="827" spans="2:11" ht="16.2" x14ac:dyDescent="0.3">
      <c r="B827"/>
      <c r="C827"/>
      <c r="D827" s="2"/>
      <c r="F827"/>
      <c r="G827"/>
      <c r="I827" s="14" t="str">
        <f t="shared" si="12"/>
        <v/>
      </c>
      <c r="J827"/>
      <c r="K827"/>
    </row>
    <row r="828" spans="2:11" ht="16.2" x14ac:dyDescent="0.3">
      <c r="B828"/>
      <c r="C828"/>
      <c r="D828" s="2"/>
      <c r="F828"/>
      <c r="G828"/>
      <c r="I828" s="14" t="str">
        <f t="shared" si="12"/>
        <v/>
      </c>
      <c r="J828"/>
      <c r="K828"/>
    </row>
    <row r="829" spans="2:11" ht="16.2" x14ac:dyDescent="0.3">
      <c r="B829"/>
      <c r="C829"/>
      <c r="D829" s="2"/>
      <c r="F829"/>
      <c r="G829"/>
      <c r="I829" s="14" t="str">
        <f t="shared" si="12"/>
        <v/>
      </c>
      <c r="J829"/>
      <c r="K829"/>
    </row>
    <row r="830" spans="2:11" ht="16.2" x14ac:dyDescent="0.3">
      <c r="B830"/>
      <c r="C830"/>
      <c r="D830" s="2"/>
      <c r="F830"/>
      <c r="G830"/>
      <c r="I830" s="14" t="str">
        <f t="shared" si="12"/>
        <v/>
      </c>
      <c r="J830"/>
      <c r="K830"/>
    </row>
    <row r="831" spans="2:11" ht="16.2" x14ac:dyDescent="0.3">
      <c r="B831"/>
      <c r="C831"/>
      <c r="D831" s="2"/>
      <c r="F831"/>
      <c r="G831"/>
      <c r="I831" s="14" t="str">
        <f t="shared" si="12"/>
        <v/>
      </c>
      <c r="J831"/>
      <c r="K831"/>
    </row>
    <row r="832" spans="2:11" ht="16.2" x14ac:dyDescent="0.3">
      <c r="B832"/>
      <c r="C832"/>
      <c r="D832" s="2"/>
      <c r="F832"/>
      <c r="G832"/>
      <c r="I832" s="14" t="str">
        <f t="shared" si="12"/>
        <v/>
      </c>
      <c r="J832"/>
      <c r="K832"/>
    </row>
    <row r="833" spans="2:11" ht="16.2" x14ac:dyDescent="0.3">
      <c r="B833"/>
      <c r="C833"/>
      <c r="D833" s="2"/>
      <c r="F833"/>
      <c r="G833"/>
      <c r="I833" s="14" t="str">
        <f t="shared" si="12"/>
        <v/>
      </c>
      <c r="J833"/>
      <c r="K833"/>
    </row>
    <row r="834" spans="2:11" ht="16.2" x14ac:dyDescent="0.3">
      <c r="B834"/>
      <c r="C834"/>
      <c r="D834" s="2"/>
      <c r="F834"/>
      <c r="G834"/>
      <c r="I834" s="14" t="str">
        <f t="shared" si="12"/>
        <v/>
      </c>
      <c r="J834"/>
      <c r="K834"/>
    </row>
    <row r="835" spans="2:11" ht="16.2" x14ac:dyDescent="0.3">
      <c r="B835"/>
      <c r="C835"/>
      <c r="D835" s="2"/>
      <c r="F835"/>
      <c r="G835"/>
      <c r="I835" s="14" t="str">
        <f t="shared" si="12"/>
        <v/>
      </c>
      <c r="J835"/>
      <c r="K835"/>
    </row>
    <row r="836" spans="2:11" ht="16.2" x14ac:dyDescent="0.3">
      <c r="B836"/>
      <c r="C836"/>
      <c r="D836" s="2"/>
      <c r="F836"/>
      <c r="G836"/>
      <c r="I836" s="14" t="str">
        <f t="shared" ref="I836:I899" si="13">IF(E836&lt;&gt;"",E836,"")</f>
        <v/>
      </c>
      <c r="J836"/>
      <c r="K836"/>
    </row>
    <row r="837" spans="2:11" ht="16.2" x14ac:dyDescent="0.3">
      <c r="B837"/>
      <c r="C837"/>
      <c r="D837" s="2"/>
      <c r="F837"/>
      <c r="G837"/>
      <c r="I837" s="14" t="str">
        <f t="shared" si="13"/>
        <v/>
      </c>
      <c r="J837"/>
      <c r="K837"/>
    </row>
    <row r="838" spans="2:11" ht="16.2" x14ac:dyDescent="0.3">
      <c r="B838"/>
      <c r="C838"/>
      <c r="D838" s="2"/>
      <c r="F838"/>
      <c r="G838"/>
      <c r="I838" s="14" t="str">
        <f t="shared" si="13"/>
        <v/>
      </c>
      <c r="J838"/>
      <c r="K838"/>
    </row>
    <row r="839" spans="2:11" ht="16.2" x14ac:dyDescent="0.3">
      <c r="B839"/>
      <c r="C839"/>
      <c r="D839" s="2"/>
      <c r="F839"/>
      <c r="G839"/>
      <c r="I839" s="14" t="str">
        <f t="shared" si="13"/>
        <v/>
      </c>
      <c r="J839"/>
      <c r="K839"/>
    </row>
    <row r="840" spans="2:11" ht="16.2" x14ac:dyDescent="0.3">
      <c r="B840"/>
      <c r="C840"/>
      <c r="D840" s="2"/>
      <c r="F840"/>
      <c r="G840"/>
      <c r="I840" s="14" t="str">
        <f t="shared" si="13"/>
        <v/>
      </c>
      <c r="J840"/>
      <c r="K840"/>
    </row>
    <row r="841" spans="2:11" ht="16.2" x14ac:dyDescent="0.3">
      <c r="B841"/>
      <c r="C841"/>
      <c r="D841" s="2"/>
      <c r="F841"/>
      <c r="G841"/>
      <c r="I841" s="14" t="str">
        <f t="shared" si="13"/>
        <v/>
      </c>
      <c r="J841"/>
      <c r="K841"/>
    </row>
    <row r="842" spans="2:11" ht="16.2" x14ac:dyDescent="0.3">
      <c r="B842"/>
      <c r="C842"/>
      <c r="D842" s="2"/>
      <c r="F842"/>
      <c r="G842"/>
      <c r="I842" s="14" t="str">
        <f t="shared" si="13"/>
        <v/>
      </c>
      <c r="J842"/>
      <c r="K842"/>
    </row>
    <row r="843" spans="2:11" ht="16.2" x14ac:dyDescent="0.3">
      <c r="B843"/>
      <c r="C843"/>
      <c r="D843" s="2"/>
      <c r="F843"/>
      <c r="G843"/>
      <c r="I843" s="14" t="str">
        <f t="shared" si="13"/>
        <v/>
      </c>
      <c r="J843"/>
      <c r="K843"/>
    </row>
    <row r="844" spans="2:11" ht="16.2" x14ac:dyDescent="0.3">
      <c r="B844"/>
      <c r="C844"/>
      <c r="D844" s="2"/>
      <c r="F844"/>
      <c r="G844"/>
      <c r="I844" s="14" t="str">
        <f t="shared" si="13"/>
        <v/>
      </c>
      <c r="J844"/>
      <c r="K844"/>
    </row>
    <row r="845" spans="2:11" ht="16.2" x14ac:dyDescent="0.3">
      <c r="B845"/>
      <c r="C845"/>
      <c r="D845" s="2"/>
      <c r="F845"/>
      <c r="G845"/>
      <c r="I845" s="14" t="str">
        <f t="shared" si="13"/>
        <v/>
      </c>
      <c r="J845"/>
      <c r="K845"/>
    </row>
    <row r="846" spans="2:11" ht="16.2" x14ac:dyDescent="0.3">
      <c r="B846"/>
      <c r="C846"/>
      <c r="D846" s="2"/>
      <c r="F846"/>
      <c r="G846"/>
      <c r="I846" s="14" t="str">
        <f t="shared" si="13"/>
        <v/>
      </c>
      <c r="J846"/>
      <c r="K846"/>
    </row>
    <row r="847" spans="2:11" ht="16.2" x14ac:dyDescent="0.3">
      <c r="B847"/>
      <c r="C847"/>
      <c r="D847" s="2"/>
      <c r="F847"/>
      <c r="G847"/>
      <c r="I847" s="14" t="str">
        <f t="shared" si="13"/>
        <v/>
      </c>
      <c r="J847"/>
      <c r="K847"/>
    </row>
    <row r="848" spans="2:11" ht="16.2" x14ac:dyDescent="0.3">
      <c r="B848"/>
      <c r="C848"/>
      <c r="D848" s="2"/>
      <c r="F848"/>
      <c r="G848"/>
      <c r="I848" s="14" t="str">
        <f t="shared" si="13"/>
        <v/>
      </c>
      <c r="J848"/>
      <c r="K848"/>
    </row>
    <row r="849" spans="2:11" ht="16.2" x14ac:dyDescent="0.3">
      <c r="B849"/>
      <c r="C849"/>
      <c r="D849" s="2"/>
      <c r="F849"/>
      <c r="G849"/>
      <c r="I849" s="14" t="str">
        <f t="shared" si="13"/>
        <v/>
      </c>
      <c r="J849"/>
      <c r="K849"/>
    </row>
    <row r="850" spans="2:11" ht="16.2" x14ac:dyDescent="0.3">
      <c r="B850"/>
      <c r="C850"/>
      <c r="D850" s="2"/>
      <c r="F850"/>
      <c r="G850"/>
      <c r="I850" s="14" t="str">
        <f t="shared" si="13"/>
        <v/>
      </c>
      <c r="J850"/>
      <c r="K850"/>
    </row>
    <row r="851" spans="2:11" ht="16.2" x14ac:dyDescent="0.3">
      <c r="B851"/>
      <c r="C851"/>
      <c r="D851" s="2"/>
      <c r="F851"/>
      <c r="G851"/>
      <c r="I851" s="14" t="str">
        <f t="shared" si="13"/>
        <v/>
      </c>
      <c r="J851"/>
      <c r="K851"/>
    </row>
    <row r="852" spans="2:11" ht="16.2" x14ac:dyDescent="0.3">
      <c r="B852"/>
      <c r="C852"/>
      <c r="D852" s="2"/>
      <c r="F852"/>
      <c r="G852"/>
      <c r="I852" s="14" t="str">
        <f t="shared" si="13"/>
        <v/>
      </c>
      <c r="J852"/>
      <c r="K852"/>
    </row>
    <row r="853" spans="2:11" ht="16.2" x14ac:dyDescent="0.3">
      <c r="B853"/>
      <c r="C853"/>
      <c r="D853" s="2"/>
      <c r="F853"/>
      <c r="G853"/>
      <c r="I853" s="14" t="str">
        <f t="shared" si="13"/>
        <v/>
      </c>
      <c r="J853"/>
      <c r="K853"/>
    </row>
    <row r="854" spans="2:11" ht="16.2" x14ac:dyDescent="0.3">
      <c r="B854"/>
      <c r="C854"/>
      <c r="D854" s="2"/>
      <c r="F854"/>
      <c r="G854"/>
      <c r="I854" s="14" t="str">
        <f t="shared" si="13"/>
        <v/>
      </c>
      <c r="J854"/>
      <c r="K854"/>
    </row>
    <row r="855" spans="2:11" ht="16.2" x14ac:dyDescent="0.3">
      <c r="B855"/>
      <c r="C855"/>
      <c r="D855" s="2"/>
      <c r="F855"/>
      <c r="G855"/>
      <c r="I855" s="14" t="str">
        <f t="shared" si="13"/>
        <v/>
      </c>
      <c r="J855"/>
      <c r="K855"/>
    </row>
    <row r="856" spans="2:11" ht="16.2" x14ac:dyDescent="0.3">
      <c r="B856"/>
      <c r="C856"/>
      <c r="D856" s="2"/>
      <c r="F856"/>
      <c r="G856"/>
      <c r="I856" s="14" t="str">
        <f t="shared" si="13"/>
        <v/>
      </c>
      <c r="J856"/>
      <c r="K856"/>
    </row>
    <row r="857" spans="2:11" ht="16.2" x14ac:dyDescent="0.3">
      <c r="B857"/>
      <c r="C857"/>
      <c r="D857" s="2"/>
      <c r="F857"/>
      <c r="G857"/>
      <c r="I857" s="14" t="str">
        <f t="shared" si="13"/>
        <v/>
      </c>
      <c r="J857"/>
      <c r="K857"/>
    </row>
    <row r="858" spans="2:11" ht="16.2" x14ac:dyDescent="0.3">
      <c r="B858"/>
      <c r="C858"/>
      <c r="D858" s="2"/>
      <c r="F858"/>
      <c r="G858"/>
      <c r="I858" s="14" t="str">
        <f t="shared" si="13"/>
        <v/>
      </c>
      <c r="J858"/>
      <c r="K858"/>
    </row>
    <row r="859" spans="2:11" ht="16.2" x14ac:dyDescent="0.3">
      <c r="B859"/>
      <c r="C859"/>
      <c r="D859" s="2"/>
      <c r="F859"/>
      <c r="G859"/>
      <c r="I859" s="14" t="str">
        <f t="shared" si="13"/>
        <v/>
      </c>
      <c r="J859"/>
      <c r="K859"/>
    </row>
    <row r="860" spans="2:11" ht="16.2" x14ac:dyDescent="0.3">
      <c r="B860"/>
      <c r="C860"/>
      <c r="D860" s="2"/>
      <c r="F860"/>
      <c r="G860"/>
      <c r="I860" s="14" t="str">
        <f t="shared" si="13"/>
        <v/>
      </c>
      <c r="J860"/>
      <c r="K860"/>
    </row>
    <row r="861" spans="2:11" ht="16.2" x14ac:dyDescent="0.3">
      <c r="B861"/>
      <c r="C861"/>
      <c r="D861" s="2"/>
      <c r="F861"/>
      <c r="G861"/>
      <c r="I861" s="14" t="str">
        <f t="shared" si="13"/>
        <v/>
      </c>
      <c r="J861"/>
      <c r="K861"/>
    </row>
    <row r="862" spans="2:11" ht="16.2" x14ac:dyDescent="0.3">
      <c r="B862"/>
      <c r="C862"/>
      <c r="D862" s="2"/>
      <c r="F862"/>
      <c r="G862"/>
      <c r="I862" s="14" t="str">
        <f t="shared" si="13"/>
        <v/>
      </c>
      <c r="J862"/>
      <c r="K862"/>
    </row>
    <row r="863" spans="2:11" ht="16.2" x14ac:dyDescent="0.3">
      <c r="B863"/>
      <c r="C863"/>
      <c r="D863" s="2"/>
      <c r="F863"/>
      <c r="G863"/>
      <c r="I863" s="14" t="str">
        <f t="shared" si="13"/>
        <v/>
      </c>
      <c r="J863"/>
      <c r="K863"/>
    </row>
    <row r="864" spans="2:11" ht="16.2" x14ac:dyDescent="0.3">
      <c r="B864"/>
      <c r="C864"/>
      <c r="D864" s="2"/>
      <c r="F864"/>
      <c r="G864"/>
      <c r="I864" s="14" t="str">
        <f t="shared" si="13"/>
        <v/>
      </c>
      <c r="J864"/>
      <c r="K864"/>
    </row>
    <row r="865" spans="2:11" ht="16.2" x14ac:dyDescent="0.3">
      <c r="B865"/>
      <c r="C865"/>
      <c r="D865" s="2"/>
      <c r="F865"/>
      <c r="G865"/>
      <c r="I865" s="14" t="str">
        <f t="shared" si="13"/>
        <v/>
      </c>
      <c r="J865"/>
      <c r="K865"/>
    </row>
    <row r="866" spans="2:11" ht="16.2" x14ac:dyDescent="0.3">
      <c r="B866"/>
      <c r="C866"/>
      <c r="D866" s="2"/>
      <c r="F866"/>
      <c r="G866"/>
      <c r="I866" s="14" t="str">
        <f t="shared" si="13"/>
        <v/>
      </c>
      <c r="J866"/>
      <c r="K866"/>
    </row>
    <row r="867" spans="2:11" ht="16.2" x14ac:dyDescent="0.3">
      <c r="B867"/>
      <c r="C867"/>
      <c r="D867" s="2"/>
      <c r="F867"/>
      <c r="G867"/>
      <c r="I867" s="14" t="str">
        <f t="shared" si="13"/>
        <v/>
      </c>
      <c r="J867"/>
      <c r="K867"/>
    </row>
    <row r="868" spans="2:11" ht="16.2" x14ac:dyDescent="0.3">
      <c r="B868"/>
      <c r="C868"/>
      <c r="D868" s="2"/>
      <c r="F868"/>
      <c r="G868"/>
      <c r="I868" s="14" t="str">
        <f t="shared" si="13"/>
        <v/>
      </c>
      <c r="J868"/>
      <c r="K868"/>
    </row>
    <row r="869" spans="2:11" ht="16.2" x14ac:dyDescent="0.3">
      <c r="B869"/>
      <c r="C869"/>
      <c r="D869" s="2"/>
      <c r="F869"/>
      <c r="G869"/>
      <c r="I869" s="14" t="str">
        <f t="shared" si="13"/>
        <v/>
      </c>
      <c r="J869"/>
      <c r="K869"/>
    </row>
    <row r="870" spans="2:11" ht="16.2" x14ac:dyDescent="0.3">
      <c r="B870"/>
      <c r="C870"/>
      <c r="D870" s="2"/>
      <c r="F870"/>
      <c r="G870"/>
      <c r="I870" s="14" t="str">
        <f t="shared" si="13"/>
        <v/>
      </c>
      <c r="J870"/>
      <c r="K870"/>
    </row>
    <row r="871" spans="2:11" ht="16.2" x14ac:dyDescent="0.3">
      <c r="B871"/>
      <c r="C871"/>
      <c r="D871" s="2"/>
      <c r="F871"/>
      <c r="G871"/>
      <c r="I871" s="14" t="str">
        <f t="shared" si="13"/>
        <v/>
      </c>
      <c r="J871"/>
      <c r="K871"/>
    </row>
    <row r="872" spans="2:11" ht="16.2" x14ac:dyDescent="0.3">
      <c r="B872"/>
      <c r="C872"/>
      <c r="D872" s="2"/>
      <c r="F872"/>
      <c r="G872"/>
      <c r="I872" s="14" t="str">
        <f t="shared" si="13"/>
        <v/>
      </c>
      <c r="J872"/>
      <c r="K872"/>
    </row>
    <row r="873" spans="2:11" ht="16.2" x14ac:dyDescent="0.3">
      <c r="B873"/>
      <c r="C873"/>
      <c r="D873" s="2"/>
      <c r="F873"/>
      <c r="G873"/>
      <c r="I873" s="14" t="str">
        <f t="shared" si="13"/>
        <v/>
      </c>
      <c r="J873"/>
      <c r="K873"/>
    </row>
    <row r="874" spans="2:11" ht="16.2" x14ac:dyDescent="0.3">
      <c r="B874"/>
      <c r="C874"/>
      <c r="D874" s="2"/>
      <c r="F874"/>
      <c r="G874"/>
      <c r="I874" s="14" t="str">
        <f t="shared" si="13"/>
        <v/>
      </c>
      <c r="J874"/>
      <c r="K874"/>
    </row>
    <row r="875" spans="2:11" ht="16.2" x14ac:dyDescent="0.3">
      <c r="B875"/>
      <c r="C875"/>
      <c r="D875" s="2"/>
      <c r="F875"/>
      <c r="G875"/>
      <c r="I875" s="14" t="str">
        <f t="shared" si="13"/>
        <v/>
      </c>
      <c r="J875"/>
      <c r="K875"/>
    </row>
    <row r="876" spans="2:11" ht="16.2" x14ac:dyDescent="0.3">
      <c r="B876"/>
      <c r="C876"/>
      <c r="D876" s="2"/>
      <c r="F876"/>
      <c r="G876"/>
      <c r="I876" s="14" t="str">
        <f t="shared" si="13"/>
        <v/>
      </c>
      <c r="J876"/>
      <c r="K876"/>
    </row>
    <row r="877" spans="2:11" ht="16.2" x14ac:dyDescent="0.3">
      <c r="B877"/>
      <c r="C877"/>
      <c r="D877" s="2"/>
      <c r="F877"/>
      <c r="G877"/>
      <c r="I877" s="14" t="str">
        <f t="shared" si="13"/>
        <v/>
      </c>
      <c r="J877"/>
      <c r="K877"/>
    </row>
    <row r="878" spans="2:11" ht="16.2" x14ac:dyDescent="0.3">
      <c r="B878"/>
      <c r="C878"/>
      <c r="D878" s="2"/>
      <c r="F878"/>
      <c r="G878"/>
      <c r="I878" s="14" t="str">
        <f t="shared" si="13"/>
        <v/>
      </c>
      <c r="J878"/>
      <c r="K878"/>
    </row>
    <row r="879" spans="2:11" ht="16.2" x14ac:dyDescent="0.3">
      <c r="B879"/>
      <c r="C879"/>
      <c r="D879" s="2"/>
      <c r="F879"/>
      <c r="G879"/>
      <c r="I879" s="14" t="str">
        <f t="shared" si="13"/>
        <v/>
      </c>
      <c r="J879"/>
      <c r="K879"/>
    </row>
    <row r="880" spans="2:11" ht="16.2" x14ac:dyDescent="0.3">
      <c r="B880"/>
      <c r="C880"/>
      <c r="D880" s="2"/>
      <c r="F880"/>
      <c r="G880"/>
      <c r="I880" s="14" t="str">
        <f t="shared" si="13"/>
        <v/>
      </c>
      <c r="J880"/>
      <c r="K880"/>
    </row>
    <row r="881" spans="2:11" ht="16.2" x14ac:dyDescent="0.3">
      <c r="B881"/>
      <c r="C881"/>
      <c r="D881" s="2"/>
      <c r="F881"/>
      <c r="G881"/>
      <c r="I881" s="14" t="str">
        <f t="shared" si="13"/>
        <v/>
      </c>
      <c r="J881"/>
      <c r="K881"/>
    </row>
    <row r="882" spans="2:11" ht="16.2" x14ac:dyDescent="0.3">
      <c r="B882"/>
      <c r="C882"/>
      <c r="D882" s="2"/>
      <c r="F882"/>
      <c r="G882"/>
      <c r="I882" s="14" t="str">
        <f t="shared" si="13"/>
        <v/>
      </c>
      <c r="J882"/>
      <c r="K882"/>
    </row>
    <row r="883" spans="2:11" ht="16.2" x14ac:dyDescent="0.3">
      <c r="B883"/>
      <c r="C883"/>
      <c r="D883" s="2"/>
      <c r="F883"/>
      <c r="G883"/>
      <c r="I883" s="14" t="str">
        <f t="shared" si="13"/>
        <v/>
      </c>
      <c r="J883"/>
      <c r="K883"/>
    </row>
    <row r="884" spans="2:11" ht="16.2" x14ac:dyDescent="0.3">
      <c r="B884"/>
      <c r="C884"/>
      <c r="D884" s="2"/>
      <c r="F884"/>
      <c r="G884"/>
      <c r="I884" s="14" t="str">
        <f t="shared" si="13"/>
        <v/>
      </c>
      <c r="J884"/>
      <c r="K884"/>
    </row>
    <row r="885" spans="2:11" ht="16.2" x14ac:dyDescent="0.3">
      <c r="B885"/>
      <c r="C885"/>
      <c r="D885" s="2"/>
      <c r="F885"/>
      <c r="G885"/>
      <c r="I885" s="14" t="str">
        <f t="shared" si="13"/>
        <v/>
      </c>
      <c r="J885"/>
      <c r="K885"/>
    </row>
    <row r="886" spans="2:11" ht="16.2" x14ac:dyDescent="0.3">
      <c r="B886"/>
      <c r="C886"/>
      <c r="D886" s="2"/>
      <c r="F886"/>
      <c r="G886"/>
      <c r="I886" s="14" t="str">
        <f t="shared" si="13"/>
        <v/>
      </c>
      <c r="J886"/>
      <c r="K886"/>
    </row>
    <row r="887" spans="2:11" ht="16.2" x14ac:dyDescent="0.3">
      <c r="B887"/>
      <c r="C887"/>
      <c r="D887" s="2"/>
      <c r="F887"/>
      <c r="G887"/>
      <c r="I887" s="14" t="str">
        <f t="shared" si="13"/>
        <v/>
      </c>
      <c r="J887"/>
      <c r="K887"/>
    </row>
    <row r="888" spans="2:11" ht="16.2" x14ac:dyDescent="0.3">
      <c r="B888"/>
      <c r="C888"/>
      <c r="D888" s="2"/>
      <c r="F888"/>
      <c r="G888"/>
      <c r="I888" s="14" t="str">
        <f t="shared" si="13"/>
        <v/>
      </c>
      <c r="J888"/>
      <c r="K888"/>
    </row>
    <row r="889" spans="2:11" ht="16.2" x14ac:dyDescent="0.3">
      <c r="B889"/>
      <c r="C889"/>
      <c r="D889" s="2"/>
      <c r="F889"/>
      <c r="G889"/>
      <c r="I889" s="14" t="str">
        <f t="shared" si="13"/>
        <v/>
      </c>
      <c r="J889"/>
      <c r="K889"/>
    </row>
    <row r="890" spans="2:11" ht="16.2" x14ac:dyDescent="0.3">
      <c r="B890"/>
      <c r="C890"/>
      <c r="D890" s="2"/>
      <c r="F890"/>
      <c r="G890"/>
      <c r="I890" s="14" t="str">
        <f t="shared" si="13"/>
        <v/>
      </c>
      <c r="J890"/>
      <c r="K890"/>
    </row>
    <row r="891" spans="2:11" ht="16.2" x14ac:dyDescent="0.3">
      <c r="B891"/>
      <c r="C891"/>
      <c r="D891" s="2"/>
      <c r="F891"/>
      <c r="G891"/>
      <c r="I891" s="14" t="str">
        <f t="shared" si="13"/>
        <v/>
      </c>
      <c r="J891"/>
      <c r="K891"/>
    </row>
    <row r="892" spans="2:11" ht="16.2" x14ac:dyDescent="0.3">
      <c r="B892"/>
      <c r="C892"/>
      <c r="D892" s="2"/>
      <c r="F892"/>
      <c r="G892"/>
      <c r="I892" s="14" t="str">
        <f t="shared" si="13"/>
        <v/>
      </c>
      <c r="J892"/>
      <c r="K892"/>
    </row>
    <row r="893" spans="2:11" ht="16.2" x14ac:dyDescent="0.3">
      <c r="B893"/>
      <c r="C893"/>
      <c r="D893" s="2"/>
      <c r="F893"/>
      <c r="G893"/>
      <c r="I893" s="14" t="str">
        <f t="shared" si="13"/>
        <v/>
      </c>
      <c r="J893"/>
      <c r="K893"/>
    </row>
    <row r="894" spans="2:11" ht="16.2" x14ac:dyDescent="0.3">
      <c r="B894"/>
      <c r="C894"/>
      <c r="D894" s="2"/>
      <c r="F894"/>
      <c r="G894"/>
      <c r="I894" s="14" t="str">
        <f t="shared" si="13"/>
        <v/>
      </c>
      <c r="J894"/>
      <c r="K894"/>
    </row>
    <row r="895" spans="2:11" ht="16.2" x14ac:dyDescent="0.3">
      <c r="B895"/>
      <c r="C895"/>
      <c r="D895" s="2"/>
      <c r="F895"/>
      <c r="G895"/>
      <c r="I895" s="14" t="str">
        <f t="shared" si="13"/>
        <v/>
      </c>
      <c r="J895"/>
      <c r="K895"/>
    </row>
    <row r="896" spans="2:11" ht="16.2" x14ac:dyDescent="0.3">
      <c r="B896"/>
      <c r="C896"/>
      <c r="D896" s="2"/>
      <c r="F896"/>
      <c r="G896"/>
      <c r="I896" s="14" t="str">
        <f t="shared" si="13"/>
        <v/>
      </c>
      <c r="J896"/>
      <c r="K896"/>
    </row>
    <row r="897" spans="2:11" ht="16.2" x14ac:dyDescent="0.3">
      <c r="B897"/>
      <c r="C897"/>
      <c r="D897" s="2"/>
      <c r="F897"/>
      <c r="G897"/>
      <c r="I897" s="14" t="str">
        <f t="shared" si="13"/>
        <v/>
      </c>
      <c r="J897"/>
      <c r="K897"/>
    </row>
    <row r="898" spans="2:11" ht="16.2" x14ac:dyDescent="0.3">
      <c r="B898"/>
      <c r="C898"/>
      <c r="D898" s="2"/>
      <c r="F898"/>
      <c r="G898"/>
      <c r="I898" s="14" t="str">
        <f t="shared" si="13"/>
        <v/>
      </c>
      <c r="J898"/>
      <c r="K898"/>
    </row>
    <row r="899" spans="2:11" ht="16.2" x14ac:dyDescent="0.3">
      <c r="B899"/>
      <c r="C899"/>
      <c r="D899" s="2"/>
      <c r="F899"/>
      <c r="G899"/>
      <c r="I899" s="14" t="str">
        <f t="shared" si="13"/>
        <v/>
      </c>
      <c r="J899"/>
      <c r="K899"/>
    </row>
    <row r="900" spans="2:11" ht="16.2" x14ac:dyDescent="0.3">
      <c r="B900"/>
      <c r="C900"/>
      <c r="D900" s="2"/>
      <c r="F900"/>
      <c r="G900"/>
      <c r="I900" s="14" t="str">
        <f t="shared" ref="I900:I963" si="14">IF(E900&lt;&gt;"",E900,"")</f>
        <v/>
      </c>
      <c r="J900"/>
      <c r="K900"/>
    </row>
    <row r="901" spans="2:11" ht="16.2" x14ac:dyDescent="0.3">
      <c r="B901"/>
      <c r="C901"/>
      <c r="D901" s="2"/>
      <c r="F901"/>
      <c r="G901"/>
      <c r="I901" s="14" t="str">
        <f t="shared" si="14"/>
        <v/>
      </c>
      <c r="J901"/>
      <c r="K901"/>
    </row>
    <row r="902" spans="2:11" ht="16.2" x14ac:dyDescent="0.3">
      <c r="B902"/>
      <c r="C902"/>
      <c r="D902" s="2"/>
      <c r="F902"/>
      <c r="G902"/>
      <c r="I902" s="14" t="str">
        <f t="shared" si="14"/>
        <v/>
      </c>
      <c r="J902"/>
      <c r="K902"/>
    </row>
    <row r="903" spans="2:11" ht="16.2" x14ac:dyDescent="0.3">
      <c r="B903"/>
      <c r="C903"/>
      <c r="D903" s="2"/>
      <c r="F903"/>
      <c r="G903"/>
      <c r="I903" s="14" t="str">
        <f t="shared" si="14"/>
        <v/>
      </c>
      <c r="J903"/>
      <c r="K903"/>
    </row>
    <row r="904" spans="2:11" ht="16.2" x14ac:dyDescent="0.3">
      <c r="B904"/>
      <c r="C904"/>
      <c r="D904" s="2"/>
      <c r="F904"/>
      <c r="G904"/>
      <c r="I904" s="14" t="str">
        <f t="shared" si="14"/>
        <v/>
      </c>
      <c r="J904"/>
      <c r="K904"/>
    </row>
    <row r="905" spans="2:11" ht="16.2" x14ac:dyDescent="0.3">
      <c r="B905"/>
      <c r="C905"/>
      <c r="D905" s="2"/>
      <c r="F905"/>
      <c r="G905"/>
      <c r="I905" s="14" t="str">
        <f t="shared" si="14"/>
        <v/>
      </c>
      <c r="J905"/>
      <c r="K905"/>
    </row>
    <row r="906" spans="2:11" ht="16.2" x14ac:dyDescent="0.3">
      <c r="B906"/>
      <c r="C906"/>
      <c r="D906" s="2"/>
      <c r="F906"/>
      <c r="G906"/>
      <c r="I906" s="14" t="str">
        <f t="shared" si="14"/>
        <v/>
      </c>
      <c r="J906"/>
      <c r="K906"/>
    </row>
    <row r="907" spans="2:11" ht="16.2" x14ac:dyDescent="0.3">
      <c r="B907"/>
      <c r="C907"/>
      <c r="D907" s="2"/>
      <c r="F907"/>
      <c r="G907"/>
      <c r="I907" s="14" t="str">
        <f t="shared" si="14"/>
        <v/>
      </c>
      <c r="J907"/>
      <c r="K907"/>
    </row>
    <row r="908" spans="2:11" ht="16.2" x14ac:dyDescent="0.3">
      <c r="B908"/>
      <c r="C908"/>
      <c r="D908" s="2"/>
      <c r="F908"/>
      <c r="G908"/>
      <c r="I908" s="14" t="str">
        <f t="shared" si="14"/>
        <v/>
      </c>
      <c r="J908"/>
      <c r="K908"/>
    </row>
    <row r="909" spans="2:11" ht="16.2" x14ac:dyDescent="0.3">
      <c r="B909"/>
      <c r="C909"/>
      <c r="D909" s="2"/>
      <c r="F909"/>
      <c r="G909"/>
      <c r="I909" s="14" t="str">
        <f t="shared" si="14"/>
        <v/>
      </c>
      <c r="J909"/>
      <c r="K909"/>
    </row>
    <row r="910" spans="2:11" ht="16.2" x14ac:dyDescent="0.3">
      <c r="B910"/>
      <c r="C910"/>
      <c r="D910" s="2"/>
      <c r="F910"/>
      <c r="G910"/>
      <c r="I910" s="14" t="str">
        <f t="shared" si="14"/>
        <v/>
      </c>
      <c r="J910"/>
      <c r="K910"/>
    </row>
    <row r="911" spans="2:11" ht="16.2" x14ac:dyDescent="0.3">
      <c r="B911"/>
      <c r="C911"/>
      <c r="D911" s="2"/>
      <c r="F911"/>
      <c r="G911"/>
      <c r="I911" s="14" t="str">
        <f t="shared" si="14"/>
        <v/>
      </c>
      <c r="J911"/>
      <c r="K911"/>
    </row>
    <row r="912" spans="2:11" ht="16.2" x14ac:dyDescent="0.3">
      <c r="B912"/>
      <c r="C912"/>
      <c r="D912" s="2"/>
      <c r="F912"/>
      <c r="G912"/>
      <c r="I912" s="14" t="str">
        <f t="shared" si="14"/>
        <v/>
      </c>
      <c r="J912"/>
      <c r="K912"/>
    </row>
    <row r="913" spans="2:11" ht="16.2" x14ac:dyDescent="0.3">
      <c r="B913"/>
      <c r="C913"/>
      <c r="D913" s="2"/>
      <c r="F913"/>
      <c r="G913"/>
      <c r="I913" s="14" t="str">
        <f t="shared" si="14"/>
        <v/>
      </c>
      <c r="J913"/>
      <c r="K913"/>
    </row>
    <row r="914" spans="2:11" ht="16.2" x14ac:dyDescent="0.3">
      <c r="B914"/>
      <c r="C914"/>
      <c r="D914" s="2"/>
      <c r="F914"/>
      <c r="G914"/>
      <c r="I914" s="14" t="str">
        <f t="shared" si="14"/>
        <v/>
      </c>
      <c r="J914"/>
      <c r="K914"/>
    </row>
    <row r="915" spans="2:11" ht="16.2" x14ac:dyDescent="0.3">
      <c r="B915"/>
      <c r="C915"/>
      <c r="D915" s="2"/>
      <c r="F915"/>
      <c r="G915"/>
      <c r="I915" s="14" t="str">
        <f t="shared" si="14"/>
        <v/>
      </c>
      <c r="J915"/>
      <c r="K915"/>
    </row>
    <row r="916" spans="2:11" ht="16.2" x14ac:dyDescent="0.3">
      <c r="B916"/>
      <c r="C916"/>
      <c r="D916" s="2"/>
      <c r="F916"/>
      <c r="G916"/>
      <c r="I916" s="14" t="str">
        <f t="shared" si="14"/>
        <v/>
      </c>
      <c r="J916"/>
      <c r="K916"/>
    </row>
    <row r="917" spans="2:11" ht="16.2" x14ac:dyDescent="0.3">
      <c r="B917"/>
      <c r="C917"/>
      <c r="D917" s="2"/>
      <c r="F917"/>
      <c r="G917"/>
      <c r="I917" s="14" t="str">
        <f t="shared" si="14"/>
        <v/>
      </c>
      <c r="J917"/>
      <c r="K917"/>
    </row>
    <row r="918" spans="2:11" ht="16.2" x14ac:dyDescent="0.3">
      <c r="B918"/>
      <c r="C918"/>
      <c r="D918" s="2"/>
      <c r="F918"/>
      <c r="G918"/>
      <c r="I918" s="14" t="str">
        <f t="shared" si="14"/>
        <v/>
      </c>
      <c r="J918"/>
      <c r="K918"/>
    </row>
    <row r="919" spans="2:11" ht="16.2" x14ac:dyDescent="0.3">
      <c r="B919"/>
      <c r="C919"/>
      <c r="D919" s="2"/>
      <c r="F919"/>
      <c r="G919"/>
      <c r="I919" s="14" t="str">
        <f t="shared" si="14"/>
        <v/>
      </c>
      <c r="J919"/>
      <c r="K919"/>
    </row>
    <row r="920" spans="2:11" ht="16.2" x14ac:dyDescent="0.3">
      <c r="B920"/>
      <c r="C920"/>
      <c r="D920" s="2"/>
      <c r="F920"/>
      <c r="G920"/>
      <c r="I920" s="14" t="str">
        <f t="shared" si="14"/>
        <v/>
      </c>
      <c r="J920"/>
      <c r="K920"/>
    </row>
    <row r="921" spans="2:11" ht="16.2" x14ac:dyDescent="0.3">
      <c r="B921"/>
      <c r="C921"/>
      <c r="D921" s="2"/>
      <c r="F921"/>
      <c r="G921"/>
      <c r="I921" s="14" t="str">
        <f t="shared" si="14"/>
        <v/>
      </c>
      <c r="J921"/>
      <c r="K921"/>
    </row>
    <row r="922" spans="2:11" ht="16.2" x14ac:dyDescent="0.3">
      <c r="B922"/>
      <c r="C922"/>
      <c r="D922" s="2"/>
      <c r="F922"/>
      <c r="G922"/>
      <c r="I922" s="14" t="str">
        <f t="shared" si="14"/>
        <v/>
      </c>
      <c r="J922"/>
      <c r="K922"/>
    </row>
    <row r="923" spans="2:11" ht="16.2" x14ac:dyDescent="0.3">
      <c r="B923"/>
      <c r="C923"/>
      <c r="D923" s="2"/>
      <c r="F923"/>
      <c r="G923"/>
      <c r="I923" s="14" t="str">
        <f t="shared" si="14"/>
        <v/>
      </c>
      <c r="J923"/>
      <c r="K923"/>
    </row>
    <row r="924" spans="2:11" ht="16.2" x14ac:dyDescent="0.3">
      <c r="B924"/>
      <c r="C924"/>
      <c r="D924" s="2"/>
      <c r="F924"/>
      <c r="G924"/>
      <c r="I924" s="14" t="str">
        <f t="shared" si="14"/>
        <v/>
      </c>
      <c r="J924"/>
      <c r="K924"/>
    </row>
    <row r="925" spans="2:11" ht="16.2" x14ac:dyDescent="0.3">
      <c r="B925"/>
      <c r="C925"/>
      <c r="D925" s="2"/>
      <c r="F925"/>
      <c r="G925"/>
      <c r="I925" s="14" t="str">
        <f t="shared" si="14"/>
        <v/>
      </c>
      <c r="J925"/>
      <c r="K925"/>
    </row>
    <row r="926" spans="2:11" ht="16.2" x14ac:dyDescent="0.3">
      <c r="B926"/>
      <c r="C926"/>
      <c r="D926" s="2"/>
      <c r="F926"/>
      <c r="G926"/>
      <c r="I926" s="14" t="str">
        <f t="shared" si="14"/>
        <v/>
      </c>
      <c r="J926"/>
      <c r="K926"/>
    </row>
    <row r="927" spans="2:11" ht="16.2" x14ac:dyDescent="0.3">
      <c r="B927"/>
      <c r="C927"/>
      <c r="D927" s="2"/>
      <c r="F927"/>
      <c r="G927"/>
      <c r="I927" s="14" t="str">
        <f t="shared" si="14"/>
        <v/>
      </c>
      <c r="J927"/>
      <c r="K927"/>
    </row>
    <row r="928" spans="2:11" ht="16.2" x14ac:dyDescent="0.3">
      <c r="B928"/>
      <c r="C928"/>
      <c r="D928" s="2"/>
      <c r="F928"/>
      <c r="G928"/>
      <c r="I928" s="14" t="str">
        <f t="shared" si="14"/>
        <v/>
      </c>
      <c r="J928"/>
      <c r="K928"/>
    </row>
    <row r="929" spans="2:11" ht="16.2" x14ac:dyDescent="0.3">
      <c r="B929"/>
      <c r="C929"/>
      <c r="D929" s="2"/>
      <c r="F929"/>
      <c r="G929"/>
      <c r="I929" s="14" t="str">
        <f t="shared" si="14"/>
        <v/>
      </c>
      <c r="J929"/>
      <c r="K929"/>
    </row>
    <row r="930" spans="2:11" ht="16.2" x14ac:dyDescent="0.3">
      <c r="B930"/>
      <c r="C930"/>
      <c r="D930" s="2"/>
      <c r="F930"/>
      <c r="G930"/>
      <c r="I930" s="14" t="str">
        <f t="shared" si="14"/>
        <v/>
      </c>
      <c r="J930"/>
      <c r="K930"/>
    </row>
    <row r="931" spans="2:11" ht="16.2" x14ac:dyDescent="0.3">
      <c r="B931"/>
      <c r="C931"/>
      <c r="D931" s="2"/>
      <c r="F931"/>
      <c r="G931"/>
      <c r="I931" s="14" t="str">
        <f t="shared" si="14"/>
        <v/>
      </c>
      <c r="J931"/>
      <c r="K931"/>
    </row>
    <row r="932" spans="2:11" ht="16.2" x14ac:dyDescent="0.3">
      <c r="B932"/>
      <c r="C932"/>
      <c r="D932" s="2"/>
      <c r="F932"/>
      <c r="G932"/>
      <c r="I932" s="14" t="str">
        <f t="shared" si="14"/>
        <v/>
      </c>
      <c r="J932"/>
      <c r="K932"/>
    </row>
    <row r="933" spans="2:11" ht="16.2" x14ac:dyDescent="0.3">
      <c r="B933"/>
      <c r="C933"/>
      <c r="D933" s="2"/>
      <c r="F933"/>
      <c r="G933"/>
      <c r="I933" s="14" t="str">
        <f t="shared" si="14"/>
        <v/>
      </c>
      <c r="J933"/>
      <c r="K933"/>
    </row>
    <row r="934" spans="2:11" ht="16.2" x14ac:dyDescent="0.3">
      <c r="B934"/>
      <c r="C934"/>
      <c r="D934" s="2"/>
      <c r="F934"/>
      <c r="G934"/>
      <c r="I934" s="14" t="str">
        <f t="shared" si="14"/>
        <v/>
      </c>
      <c r="J934"/>
      <c r="K934"/>
    </row>
    <row r="935" spans="2:11" ht="16.2" x14ac:dyDescent="0.3">
      <c r="B935"/>
      <c r="C935"/>
      <c r="D935" s="2"/>
      <c r="F935"/>
      <c r="G935"/>
      <c r="I935" s="14" t="str">
        <f t="shared" si="14"/>
        <v/>
      </c>
      <c r="J935"/>
      <c r="K935"/>
    </row>
    <row r="936" spans="2:11" ht="16.2" x14ac:dyDescent="0.3">
      <c r="B936"/>
      <c r="C936"/>
      <c r="D936" s="2"/>
      <c r="F936"/>
      <c r="G936"/>
      <c r="I936" s="14" t="str">
        <f t="shared" si="14"/>
        <v/>
      </c>
      <c r="J936"/>
      <c r="K936"/>
    </row>
    <row r="937" spans="2:11" ht="16.2" x14ac:dyDescent="0.3">
      <c r="B937"/>
      <c r="C937"/>
      <c r="D937" s="2"/>
      <c r="F937"/>
      <c r="G937"/>
      <c r="I937" s="14" t="str">
        <f t="shared" si="14"/>
        <v/>
      </c>
      <c r="J937"/>
      <c r="K937"/>
    </row>
    <row r="938" spans="2:11" ht="16.2" x14ac:dyDescent="0.3">
      <c r="B938"/>
      <c r="C938"/>
      <c r="D938" s="2"/>
      <c r="F938"/>
      <c r="G938"/>
      <c r="I938" s="14" t="str">
        <f t="shared" si="14"/>
        <v/>
      </c>
      <c r="J938"/>
      <c r="K938"/>
    </row>
    <row r="939" spans="2:11" ht="16.2" x14ac:dyDescent="0.3">
      <c r="B939"/>
      <c r="C939"/>
      <c r="D939" s="2"/>
      <c r="F939"/>
      <c r="G939"/>
      <c r="I939" s="14" t="str">
        <f t="shared" si="14"/>
        <v/>
      </c>
      <c r="J939"/>
      <c r="K939"/>
    </row>
    <row r="940" spans="2:11" ht="16.2" x14ac:dyDescent="0.3">
      <c r="B940"/>
      <c r="C940"/>
      <c r="D940" s="2"/>
      <c r="F940"/>
      <c r="G940"/>
      <c r="I940" s="14" t="str">
        <f t="shared" si="14"/>
        <v/>
      </c>
      <c r="J940"/>
      <c r="K940"/>
    </row>
    <row r="941" spans="2:11" ht="16.2" x14ac:dyDescent="0.3">
      <c r="B941"/>
      <c r="C941"/>
      <c r="D941" s="2"/>
      <c r="F941"/>
      <c r="G941"/>
      <c r="I941" s="14" t="str">
        <f t="shared" si="14"/>
        <v/>
      </c>
      <c r="J941"/>
      <c r="K941"/>
    </row>
    <row r="942" spans="2:11" ht="16.2" x14ac:dyDescent="0.3">
      <c r="B942"/>
      <c r="C942"/>
      <c r="D942" s="2"/>
      <c r="F942"/>
      <c r="G942"/>
      <c r="I942" s="14" t="str">
        <f t="shared" si="14"/>
        <v/>
      </c>
      <c r="J942"/>
      <c r="K942"/>
    </row>
    <row r="943" spans="2:11" ht="16.2" x14ac:dyDescent="0.3">
      <c r="B943"/>
      <c r="C943"/>
      <c r="D943" s="2"/>
      <c r="F943"/>
      <c r="G943"/>
      <c r="I943" s="14" t="str">
        <f t="shared" si="14"/>
        <v/>
      </c>
      <c r="J943"/>
      <c r="K943"/>
    </row>
    <row r="944" spans="2:11" ht="16.2" x14ac:dyDescent="0.3">
      <c r="B944"/>
      <c r="C944"/>
      <c r="D944" s="2"/>
      <c r="F944"/>
      <c r="G944"/>
      <c r="I944" s="14" t="str">
        <f t="shared" si="14"/>
        <v/>
      </c>
      <c r="J944"/>
      <c r="K944"/>
    </row>
    <row r="945" spans="2:11" ht="16.2" x14ac:dyDescent="0.3">
      <c r="B945"/>
      <c r="C945"/>
      <c r="D945" s="2"/>
      <c r="F945"/>
      <c r="G945"/>
      <c r="I945" s="14" t="str">
        <f t="shared" si="14"/>
        <v/>
      </c>
      <c r="J945"/>
      <c r="K945"/>
    </row>
    <row r="946" spans="2:11" ht="16.2" x14ac:dyDescent="0.3">
      <c r="B946"/>
      <c r="C946"/>
      <c r="D946" s="2"/>
      <c r="F946"/>
      <c r="G946"/>
      <c r="I946" s="14" t="str">
        <f t="shared" si="14"/>
        <v/>
      </c>
      <c r="J946"/>
      <c r="K946"/>
    </row>
    <row r="947" spans="2:11" ht="16.2" x14ac:dyDescent="0.3">
      <c r="B947"/>
      <c r="C947"/>
      <c r="D947" s="2"/>
      <c r="F947"/>
      <c r="G947"/>
      <c r="I947" s="14" t="str">
        <f t="shared" si="14"/>
        <v/>
      </c>
      <c r="J947"/>
      <c r="K947"/>
    </row>
    <row r="948" spans="2:11" ht="16.2" x14ac:dyDescent="0.3">
      <c r="B948"/>
      <c r="C948"/>
      <c r="D948" s="2"/>
      <c r="F948"/>
      <c r="G948"/>
      <c r="I948" s="14" t="str">
        <f t="shared" si="14"/>
        <v/>
      </c>
      <c r="J948"/>
      <c r="K948"/>
    </row>
    <row r="949" spans="2:11" ht="16.2" x14ac:dyDescent="0.3">
      <c r="B949"/>
      <c r="C949"/>
      <c r="D949" s="2"/>
      <c r="F949"/>
      <c r="G949"/>
      <c r="I949" s="14" t="str">
        <f t="shared" si="14"/>
        <v/>
      </c>
      <c r="J949"/>
      <c r="K949"/>
    </row>
    <row r="950" spans="2:11" ht="16.2" x14ac:dyDescent="0.3">
      <c r="B950"/>
      <c r="C950"/>
      <c r="D950" s="2"/>
      <c r="F950"/>
      <c r="G950"/>
      <c r="I950" s="14" t="str">
        <f t="shared" si="14"/>
        <v/>
      </c>
      <c r="J950"/>
      <c r="K950"/>
    </row>
    <row r="951" spans="2:11" ht="16.2" x14ac:dyDescent="0.3">
      <c r="B951"/>
      <c r="C951"/>
      <c r="D951" s="2"/>
      <c r="F951"/>
      <c r="G951"/>
      <c r="I951" s="14" t="str">
        <f t="shared" si="14"/>
        <v/>
      </c>
      <c r="J951"/>
      <c r="K951"/>
    </row>
    <row r="952" spans="2:11" ht="16.2" x14ac:dyDescent="0.3">
      <c r="B952"/>
      <c r="C952"/>
      <c r="D952" s="2"/>
      <c r="F952"/>
      <c r="G952"/>
      <c r="I952" s="14" t="str">
        <f t="shared" si="14"/>
        <v/>
      </c>
      <c r="J952"/>
      <c r="K952"/>
    </row>
    <row r="953" spans="2:11" ht="16.2" x14ac:dyDescent="0.3">
      <c r="B953"/>
      <c r="C953"/>
      <c r="D953" s="2"/>
      <c r="F953"/>
      <c r="G953"/>
      <c r="I953" s="14" t="str">
        <f t="shared" si="14"/>
        <v/>
      </c>
      <c r="J953"/>
      <c r="K953"/>
    </row>
    <row r="954" spans="2:11" ht="16.2" x14ac:dyDescent="0.3">
      <c r="B954"/>
      <c r="C954"/>
      <c r="D954" s="2"/>
      <c r="F954"/>
      <c r="G954"/>
      <c r="I954" s="14" t="str">
        <f t="shared" si="14"/>
        <v/>
      </c>
      <c r="J954"/>
      <c r="K954"/>
    </row>
    <row r="955" spans="2:11" ht="16.2" x14ac:dyDescent="0.3">
      <c r="B955"/>
      <c r="C955"/>
      <c r="D955" s="2"/>
      <c r="F955"/>
      <c r="G955"/>
      <c r="I955" s="14" t="str">
        <f t="shared" si="14"/>
        <v/>
      </c>
      <c r="J955"/>
      <c r="K955"/>
    </row>
    <row r="956" spans="2:11" ht="16.2" x14ac:dyDescent="0.3">
      <c r="B956"/>
      <c r="C956"/>
      <c r="D956" s="2"/>
      <c r="F956"/>
      <c r="G956"/>
      <c r="I956" s="14" t="str">
        <f t="shared" si="14"/>
        <v/>
      </c>
      <c r="J956"/>
      <c r="K956"/>
    </row>
    <row r="957" spans="2:11" ht="16.2" x14ac:dyDescent="0.3">
      <c r="B957"/>
      <c r="C957"/>
      <c r="D957" s="2"/>
      <c r="F957"/>
      <c r="G957"/>
      <c r="I957" s="14" t="str">
        <f t="shared" si="14"/>
        <v/>
      </c>
      <c r="J957"/>
      <c r="K957"/>
    </row>
    <row r="958" spans="2:11" ht="16.2" x14ac:dyDescent="0.3">
      <c r="B958"/>
      <c r="C958"/>
      <c r="D958" s="2"/>
      <c r="F958"/>
      <c r="G958"/>
      <c r="I958" s="14" t="str">
        <f t="shared" si="14"/>
        <v/>
      </c>
      <c r="J958"/>
      <c r="K958"/>
    </row>
    <row r="959" spans="2:11" ht="16.2" x14ac:dyDescent="0.3">
      <c r="B959"/>
      <c r="C959"/>
      <c r="D959" s="2"/>
      <c r="F959"/>
      <c r="G959"/>
      <c r="I959" s="14" t="str">
        <f t="shared" si="14"/>
        <v/>
      </c>
      <c r="J959"/>
      <c r="K959"/>
    </row>
    <row r="960" spans="2:11" ht="16.2" x14ac:dyDescent="0.3">
      <c r="B960"/>
      <c r="C960"/>
      <c r="D960" s="2"/>
      <c r="F960"/>
      <c r="G960"/>
      <c r="I960" s="14" t="str">
        <f t="shared" si="14"/>
        <v/>
      </c>
      <c r="J960"/>
      <c r="K960"/>
    </row>
    <row r="961" spans="2:11" ht="16.2" x14ac:dyDescent="0.3">
      <c r="B961"/>
      <c r="C961"/>
      <c r="D961" s="2"/>
      <c r="F961"/>
      <c r="G961"/>
      <c r="I961" s="14" t="str">
        <f t="shared" si="14"/>
        <v/>
      </c>
      <c r="J961"/>
      <c r="K961"/>
    </row>
    <row r="962" spans="2:11" ht="16.2" x14ac:dyDescent="0.3">
      <c r="B962"/>
      <c r="C962"/>
      <c r="D962" s="2"/>
      <c r="F962"/>
      <c r="G962"/>
      <c r="I962" s="14" t="str">
        <f t="shared" si="14"/>
        <v/>
      </c>
      <c r="J962"/>
      <c r="K962"/>
    </row>
    <row r="963" spans="2:11" ht="16.2" x14ac:dyDescent="0.3">
      <c r="B963"/>
      <c r="C963"/>
      <c r="D963" s="2"/>
      <c r="F963"/>
      <c r="G963"/>
      <c r="I963" s="14" t="str">
        <f t="shared" si="14"/>
        <v/>
      </c>
      <c r="J963"/>
      <c r="K963"/>
    </row>
    <row r="964" spans="2:11" ht="16.2" x14ac:dyDescent="0.3">
      <c r="B964"/>
      <c r="C964"/>
      <c r="D964" s="2"/>
      <c r="F964"/>
      <c r="G964"/>
      <c r="I964" s="14" t="str">
        <f t="shared" ref="I964:I1000" si="15">IF(E964&lt;&gt;"",E964,"")</f>
        <v/>
      </c>
      <c r="J964"/>
      <c r="K964"/>
    </row>
    <row r="965" spans="2:11" ht="16.2" x14ac:dyDescent="0.3">
      <c r="B965"/>
      <c r="C965"/>
      <c r="D965" s="2"/>
      <c r="F965"/>
      <c r="G965"/>
      <c r="I965" s="14" t="str">
        <f t="shared" si="15"/>
        <v/>
      </c>
      <c r="J965"/>
      <c r="K965"/>
    </row>
    <row r="966" spans="2:11" ht="16.2" x14ac:dyDescent="0.3">
      <c r="B966"/>
      <c r="C966"/>
      <c r="D966" s="2"/>
      <c r="F966"/>
      <c r="G966"/>
      <c r="I966" s="14" t="str">
        <f t="shared" si="15"/>
        <v/>
      </c>
      <c r="J966"/>
      <c r="K966"/>
    </row>
    <row r="967" spans="2:11" ht="16.2" x14ac:dyDescent="0.3">
      <c r="B967"/>
      <c r="C967"/>
      <c r="D967" s="2"/>
      <c r="F967"/>
      <c r="G967"/>
      <c r="I967" s="14" t="str">
        <f t="shared" si="15"/>
        <v/>
      </c>
      <c r="J967"/>
      <c r="K967"/>
    </row>
    <row r="968" spans="2:11" ht="16.2" x14ac:dyDescent="0.3">
      <c r="B968"/>
      <c r="C968"/>
      <c r="D968" s="2"/>
      <c r="F968"/>
      <c r="G968"/>
      <c r="I968" s="14" t="str">
        <f t="shared" si="15"/>
        <v/>
      </c>
      <c r="J968"/>
      <c r="K968"/>
    </row>
    <row r="969" spans="2:11" ht="16.2" x14ac:dyDescent="0.3">
      <c r="B969"/>
      <c r="C969"/>
      <c r="D969" s="2"/>
      <c r="F969"/>
      <c r="G969"/>
      <c r="I969" s="14" t="str">
        <f t="shared" si="15"/>
        <v/>
      </c>
      <c r="J969"/>
      <c r="K969"/>
    </row>
    <row r="970" spans="2:11" ht="16.2" x14ac:dyDescent="0.3">
      <c r="B970"/>
      <c r="C970"/>
      <c r="D970" s="2"/>
      <c r="F970"/>
      <c r="G970"/>
      <c r="I970" s="14" t="str">
        <f t="shared" si="15"/>
        <v/>
      </c>
      <c r="J970"/>
      <c r="K970"/>
    </row>
    <row r="971" spans="2:11" ht="16.2" x14ac:dyDescent="0.3">
      <c r="B971"/>
      <c r="C971"/>
      <c r="D971" s="2"/>
      <c r="F971"/>
      <c r="G971"/>
      <c r="I971" s="14" t="str">
        <f t="shared" si="15"/>
        <v/>
      </c>
      <c r="J971"/>
      <c r="K971"/>
    </row>
    <row r="972" spans="2:11" ht="16.2" x14ac:dyDescent="0.3">
      <c r="B972"/>
      <c r="C972"/>
      <c r="D972" s="2"/>
      <c r="F972"/>
      <c r="G972"/>
      <c r="I972" s="14" t="str">
        <f t="shared" si="15"/>
        <v/>
      </c>
      <c r="J972"/>
      <c r="K972"/>
    </row>
    <row r="973" spans="2:11" ht="16.2" x14ac:dyDescent="0.3">
      <c r="B973"/>
      <c r="C973"/>
      <c r="D973" s="2"/>
      <c r="F973"/>
      <c r="G973"/>
      <c r="I973" s="14" t="str">
        <f t="shared" si="15"/>
        <v/>
      </c>
      <c r="J973"/>
      <c r="K973"/>
    </row>
    <row r="974" spans="2:11" ht="16.2" x14ac:dyDescent="0.3">
      <c r="B974"/>
      <c r="C974"/>
      <c r="D974" s="2"/>
      <c r="F974"/>
      <c r="G974"/>
      <c r="I974" s="14" t="str">
        <f t="shared" si="15"/>
        <v/>
      </c>
      <c r="J974"/>
      <c r="K974"/>
    </row>
    <row r="975" spans="2:11" ht="16.2" x14ac:dyDescent="0.3">
      <c r="B975"/>
      <c r="C975"/>
      <c r="D975" s="2"/>
      <c r="F975"/>
      <c r="G975"/>
      <c r="I975" s="14" t="str">
        <f t="shared" si="15"/>
        <v/>
      </c>
      <c r="J975"/>
      <c r="K975"/>
    </row>
    <row r="976" spans="2:11" ht="16.2" x14ac:dyDescent="0.3">
      <c r="B976"/>
      <c r="C976"/>
      <c r="D976" s="2"/>
      <c r="F976"/>
      <c r="G976"/>
      <c r="I976" s="14" t="str">
        <f t="shared" si="15"/>
        <v/>
      </c>
      <c r="J976"/>
      <c r="K976"/>
    </row>
    <row r="977" spans="2:11" ht="16.2" x14ac:dyDescent="0.3">
      <c r="B977"/>
      <c r="C977"/>
      <c r="D977" s="2"/>
      <c r="F977"/>
      <c r="G977"/>
      <c r="I977" s="14" t="str">
        <f t="shared" si="15"/>
        <v/>
      </c>
      <c r="J977"/>
      <c r="K977"/>
    </row>
    <row r="978" spans="2:11" ht="16.2" x14ac:dyDescent="0.3">
      <c r="B978"/>
      <c r="C978"/>
      <c r="D978" s="2"/>
      <c r="F978"/>
      <c r="G978"/>
      <c r="I978" s="14" t="str">
        <f t="shared" si="15"/>
        <v/>
      </c>
      <c r="J978"/>
      <c r="K978"/>
    </row>
    <row r="979" spans="2:11" ht="16.2" x14ac:dyDescent="0.3">
      <c r="B979"/>
      <c r="C979"/>
      <c r="D979" s="2"/>
      <c r="F979"/>
      <c r="G979"/>
      <c r="I979" s="14" t="str">
        <f t="shared" si="15"/>
        <v/>
      </c>
      <c r="J979"/>
      <c r="K979"/>
    </row>
    <row r="980" spans="2:11" ht="16.2" x14ac:dyDescent="0.3">
      <c r="B980"/>
      <c r="C980"/>
      <c r="D980" s="2"/>
      <c r="F980"/>
      <c r="G980"/>
      <c r="I980" s="14" t="str">
        <f t="shared" si="15"/>
        <v/>
      </c>
      <c r="J980"/>
      <c r="K980"/>
    </row>
    <row r="981" spans="2:11" ht="16.2" x14ac:dyDescent="0.3">
      <c r="B981"/>
      <c r="C981"/>
      <c r="D981" s="2"/>
      <c r="F981"/>
      <c r="G981"/>
      <c r="I981" s="14" t="str">
        <f t="shared" si="15"/>
        <v/>
      </c>
      <c r="J981"/>
      <c r="K981"/>
    </row>
    <row r="982" spans="2:11" ht="16.2" x14ac:dyDescent="0.3">
      <c r="B982"/>
      <c r="C982"/>
      <c r="D982" s="2"/>
      <c r="F982"/>
      <c r="G982"/>
      <c r="I982" s="14" t="str">
        <f t="shared" si="15"/>
        <v/>
      </c>
      <c r="J982"/>
      <c r="K982"/>
    </row>
    <row r="983" spans="2:11" ht="16.2" x14ac:dyDescent="0.3">
      <c r="B983"/>
      <c r="C983"/>
      <c r="D983" s="2"/>
      <c r="F983"/>
      <c r="G983"/>
      <c r="I983" s="14" t="str">
        <f t="shared" si="15"/>
        <v/>
      </c>
      <c r="J983"/>
      <c r="K983"/>
    </row>
    <row r="984" spans="2:11" ht="16.2" x14ac:dyDescent="0.3">
      <c r="B984"/>
      <c r="C984"/>
      <c r="D984" s="2"/>
      <c r="F984"/>
      <c r="G984"/>
      <c r="I984" s="14" t="str">
        <f t="shared" si="15"/>
        <v/>
      </c>
      <c r="J984"/>
      <c r="K984"/>
    </row>
    <row r="985" spans="2:11" ht="16.2" x14ac:dyDescent="0.3">
      <c r="B985"/>
      <c r="C985"/>
      <c r="D985" s="2"/>
      <c r="F985"/>
      <c r="G985"/>
      <c r="I985" s="14" t="str">
        <f t="shared" si="15"/>
        <v/>
      </c>
      <c r="J985"/>
      <c r="K985"/>
    </row>
    <row r="986" spans="2:11" ht="16.2" x14ac:dyDescent="0.3">
      <c r="B986"/>
      <c r="C986"/>
      <c r="D986" s="2"/>
      <c r="F986"/>
      <c r="G986"/>
      <c r="I986" s="14" t="str">
        <f t="shared" si="15"/>
        <v/>
      </c>
      <c r="J986"/>
      <c r="K986"/>
    </row>
    <row r="987" spans="2:11" ht="16.2" x14ac:dyDescent="0.3">
      <c r="B987"/>
      <c r="C987"/>
      <c r="D987" s="2"/>
      <c r="F987"/>
      <c r="G987"/>
      <c r="I987" s="14" t="str">
        <f t="shared" si="15"/>
        <v/>
      </c>
      <c r="J987"/>
      <c r="K987"/>
    </row>
    <row r="988" spans="2:11" ht="16.2" x14ac:dyDescent="0.3">
      <c r="B988"/>
      <c r="C988"/>
      <c r="D988" s="2"/>
      <c r="F988"/>
      <c r="G988"/>
      <c r="I988" s="14" t="str">
        <f t="shared" si="15"/>
        <v/>
      </c>
      <c r="J988"/>
      <c r="K988"/>
    </row>
    <row r="989" spans="2:11" ht="16.2" x14ac:dyDescent="0.3">
      <c r="B989"/>
      <c r="C989"/>
      <c r="D989" s="2"/>
      <c r="F989"/>
      <c r="G989"/>
      <c r="I989" s="14" t="str">
        <f t="shared" si="15"/>
        <v/>
      </c>
      <c r="J989"/>
      <c r="K989"/>
    </row>
    <row r="990" spans="2:11" ht="16.2" x14ac:dyDescent="0.3">
      <c r="B990"/>
      <c r="C990"/>
      <c r="D990" s="2"/>
      <c r="F990"/>
      <c r="G990"/>
      <c r="I990" s="14" t="str">
        <f t="shared" si="15"/>
        <v/>
      </c>
      <c r="J990"/>
      <c r="K990"/>
    </row>
    <row r="991" spans="2:11" ht="16.2" x14ac:dyDescent="0.3">
      <c r="B991"/>
      <c r="C991"/>
      <c r="D991" s="2"/>
      <c r="F991"/>
      <c r="G991"/>
      <c r="I991" s="14" t="str">
        <f t="shared" si="15"/>
        <v/>
      </c>
      <c r="J991"/>
      <c r="K991"/>
    </row>
    <row r="992" spans="2:11" ht="16.2" x14ac:dyDescent="0.3">
      <c r="B992"/>
      <c r="C992"/>
      <c r="D992" s="2"/>
      <c r="F992"/>
      <c r="G992"/>
      <c r="I992" s="14" t="str">
        <f t="shared" si="15"/>
        <v/>
      </c>
      <c r="J992"/>
      <c r="K992"/>
    </row>
    <row r="993" spans="2:11" ht="16.2" x14ac:dyDescent="0.3">
      <c r="B993"/>
      <c r="C993"/>
      <c r="D993" s="2"/>
      <c r="F993"/>
      <c r="G993"/>
      <c r="I993" s="14" t="str">
        <f t="shared" si="15"/>
        <v/>
      </c>
      <c r="J993"/>
      <c r="K993"/>
    </row>
    <row r="994" spans="2:11" ht="16.2" x14ac:dyDescent="0.3">
      <c r="B994"/>
      <c r="C994"/>
      <c r="D994" s="2"/>
      <c r="F994"/>
      <c r="G994"/>
      <c r="I994" s="14" t="str">
        <f t="shared" si="15"/>
        <v/>
      </c>
      <c r="J994"/>
      <c r="K994"/>
    </row>
    <row r="995" spans="2:11" ht="16.2" x14ac:dyDescent="0.3">
      <c r="B995"/>
      <c r="C995"/>
      <c r="D995" s="2"/>
      <c r="F995"/>
      <c r="G995"/>
      <c r="I995" s="14" t="str">
        <f t="shared" si="15"/>
        <v/>
      </c>
      <c r="J995"/>
      <c r="K995"/>
    </row>
    <row r="996" spans="2:11" ht="16.2" x14ac:dyDescent="0.3">
      <c r="B996"/>
      <c r="C996"/>
      <c r="D996" s="2"/>
      <c r="F996"/>
      <c r="G996"/>
      <c r="I996" s="14" t="str">
        <f t="shared" si="15"/>
        <v/>
      </c>
      <c r="J996"/>
      <c r="K996"/>
    </row>
    <row r="997" spans="2:11" ht="16.2" x14ac:dyDescent="0.3">
      <c r="B997"/>
      <c r="C997"/>
      <c r="D997" s="2"/>
      <c r="F997"/>
      <c r="G997"/>
      <c r="I997" s="14" t="str">
        <f t="shared" si="15"/>
        <v/>
      </c>
      <c r="J997"/>
      <c r="K997"/>
    </row>
    <row r="998" spans="2:11" ht="16.2" x14ac:dyDescent="0.3">
      <c r="B998"/>
      <c r="C998"/>
      <c r="D998" s="2"/>
      <c r="F998"/>
      <c r="G998"/>
      <c r="I998" s="14" t="str">
        <f t="shared" si="15"/>
        <v/>
      </c>
      <c r="J998"/>
      <c r="K998"/>
    </row>
    <row r="999" spans="2:11" ht="16.2" x14ac:dyDescent="0.3">
      <c r="B999"/>
      <c r="C999"/>
      <c r="D999" s="2"/>
      <c r="F999"/>
      <c r="G999"/>
      <c r="I999" s="14" t="str">
        <f t="shared" si="15"/>
        <v/>
      </c>
      <c r="J999"/>
      <c r="K999"/>
    </row>
    <row r="1000" spans="2:11" ht="16.2" x14ac:dyDescent="0.3">
      <c r="B1000"/>
      <c r="C1000"/>
      <c r="D1000" s="2"/>
      <c r="F1000"/>
      <c r="G1000"/>
      <c r="I1000" s="14" t="str">
        <f t="shared" si="15"/>
        <v/>
      </c>
      <c r="J1000"/>
      <c r="K1000"/>
    </row>
    <row r="1001" spans="2:11" ht="16.2" x14ac:dyDescent="0.3">
      <c r="B1001"/>
      <c r="C1001"/>
      <c r="D1001" s="2"/>
      <c r="F1001"/>
      <c r="G1001"/>
      <c r="J1001"/>
      <c r="K1001"/>
    </row>
    <row r="1002" spans="2:11" ht="16.2" x14ac:dyDescent="0.3">
      <c r="B1002"/>
      <c r="C1002"/>
      <c r="F1002"/>
      <c r="G1002"/>
      <c r="J1002"/>
      <c r="K1002"/>
    </row>
  </sheetData>
  <mergeCells count="3">
    <mergeCell ref="E1:G1"/>
    <mergeCell ref="A1:C1"/>
    <mergeCell ref="I1:K1"/>
  </mergeCells>
  <phoneticPr fontId="5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634"/>
  <sheetViews>
    <sheetView tabSelected="1" workbookViewId="0">
      <selection activeCell="I5" sqref="I5"/>
    </sheetView>
  </sheetViews>
  <sheetFormatPr defaultColWidth="9" defaultRowHeight="15" x14ac:dyDescent="0.3"/>
  <cols>
    <col min="1" max="1" width="6.44140625" style="2" bestFit="1" customWidth="1"/>
    <col min="2" max="2" width="7.88671875" style="2" bestFit="1" customWidth="1"/>
    <col min="3" max="3" width="8.109375" style="2" bestFit="1" customWidth="1"/>
    <col min="4" max="4" width="7.88671875" style="2" bestFit="1" customWidth="1"/>
    <col min="5" max="5" width="9.6640625" style="2" customWidth="1"/>
    <col min="6" max="6" width="10.77734375" style="2" customWidth="1"/>
    <col min="7" max="7" width="9" style="2"/>
    <col min="8" max="8" width="19.77734375" style="2" customWidth="1"/>
    <col min="9" max="9" width="15.5546875" style="2" customWidth="1"/>
    <col min="10" max="10" width="9" style="2" customWidth="1"/>
    <col min="11" max="11" width="10.77734375" style="2" customWidth="1"/>
    <col min="12" max="12" width="9" style="2"/>
    <col min="13" max="13" width="9" style="2" customWidth="1"/>
    <col min="14" max="14" width="9" style="2"/>
    <col min="15" max="15" width="11.77734375" style="2" customWidth="1"/>
    <col min="16" max="17" width="9" style="2"/>
    <col min="18" max="18" width="14.109375" style="2" customWidth="1"/>
    <col min="19" max="16384" width="9" style="2"/>
  </cols>
  <sheetData>
    <row r="1" spans="1:18" ht="15.6" x14ac:dyDescent="0.3">
      <c r="A1" s="2" t="s">
        <v>28</v>
      </c>
      <c r="B1" s="16">
        <f>InputR!B3</f>
        <v>2.3778894510000002E-3</v>
      </c>
      <c r="H1" s="2" t="s">
        <v>38</v>
      </c>
      <c r="I1" s="32">
        <v>75</v>
      </c>
      <c r="K1" s="33" t="s">
        <v>45</v>
      </c>
      <c r="L1" s="34">
        <v>74</v>
      </c>
      <c r="M1" s="3"/>
    </row>
    <row r="2" spans="1:18" x14ac:dyDescent="0.3">
      <c r="A2" s="2" t="s">
        <v>11</v>
      </c>
      <c r="B2" s="30">
        <v>0.1</v>
      </c>
      <c r="H2" s="2" t="s">
        <v>39</v>
      </c>
      <c r="I2" s="17">
        <v>1</v>
      </c>
      <c r="K2" s="3"/>
    </row>
    <row r="3" spans="1:18" ht="15.6" x14ac:dyDescent="0.3">
      <c r="A3" s="2" t="s">
        <v>29</v>
      </c>
      <c r="B3" s="30">
        <v>0.03</v>
      </c>
      <c r="H3" s="2" t="s">
        <v>40</v>
      </c>
      <c r="I3" s="31" t="s">
        <v>43</v>
      </c>
      <c r="K3" s="3"/>
    </row>
    <row r="4" spans="1:18" x14ac:dyDescent="0.3">
      <c r="A4" s="2" t="s">
        <v>30</v>
      </c>
      <c r="B4" s="2">
        <v>10</v>
      </c>
      <c r="H4" s="2" t="s">
        <v>50</v>
      </c>
      <c r="I4" s="17">
        <v>0.35</v>
      </c>
      <c r="K4" s="3"/>
    </row>
    <row r="5" spans="1:18" x14ac:dyDescent="0.3">
      <c r="A5" s="2" t="s">
        <v>31</v>
      </c>
      <c r="B5" s="2">
        <v>0</v>
      </c>
      <c r="H5" s="2" t="s">
        <v>41</v>
      </c>
      <c r="I5" s="16" t="s">
        <v>51</v>
      </c>
      <c r="K5" s="3"/>
    </row>
    <row r="6" spans="1:18" x14ac:dyDescent="0.3">
      <c r="A6" s="2" t="s">
        <v>32</v>
      </c>
      <c r="B6" s="2">
        <v>10</v>
      </c>
      <c r="K6" s="2" t="s">
        <v>48</v>
      </c>
      <c r="M6" s="36">
        <f>AVERAGE(M10:M200)</f>
        <v>1.2170703994368983E-2</v>
      </c>
      <c r="N6" s="2" t="s">
        <v>49</v>
      </c>
      <c r="P6" s="36">
        <f ca="1">AVERAGE(P10:P1000)</f>
        <v>72.866311676791923</v>
      </c>
    </row>
    <row r="7" spans="1:18" x14ac:dyDescent="0.3">
      <c r="F7" s="2" t="s">
        <v>35</v>
      </c>
    </row>
    <row r="8" spans="1:18" ht="16.2" x14ac:dyDescent="0.3">
      <c r="A8" s="50" t="s">
        <v>33</v>
      </c>
      <c r="B8" s="51"/>
      <c r="C8" s="51"/>
      <c r="D8" s="51"/>
      <c r="E8" s="51"/>
      <c r="F8" s="18">
        <v>0.67372199577878233</v>
      </c>
      <c r="K8" s="2" t="s">
        <v>42</v>
      </c>
      <c r="M8" s="2" t="s">
        <v>37</v>
      </c>
      <c r="P8" s="2" t="s">
        <v>44</v>
      </c>
      <c r="R8" s="33"/>
    </row>
    <row r="9" spans="1:18" ht="16.2" x14ac:dyDescent="0.3">
      <c r="A9" s="50" t="s">
        <v>34</v>
      </c>
      <c r="B9" s="51"/>
      <c r="C9" s="51"/>
      <c r="D9" s="51"/>
      <c r="E9" s="51"/>
      <c r="F9" s="18">
        <v>0.5702344345792838</v>
      </c>
    </row>
    <row r="10" spans="1:18" ht="16.2" x14ac:dyDescent="0.3">
      <c r="A10" s="50" t="s">
        <v>36</v>
      </c>
      <c r="B10" s="51"/>
      <c r="C10" s="51"/>
      <c r="D10" s="51"/>
      <c r="E10" s="51"/>
      <c r="F10" s="18">
        <v>0.55650384813092335</v>
      </c>
      <c r="K10" s="2">
        <f>M10-I4^2/2</f>
        <v>-5.887211054899999E-2</v>
      </c>
      <c r="M10" s="2">
        <v>2.3778894510000002E-3</v>
      </c>
      <c r="P10" s="2">
        <f ca="1">I1*EXP(K10*I2+I4*NORMSINV(RAND())*I2^0.5)</f>
        <v>58.757658264447635</v>
      </c>
      <c r="R10" s="35"/>
    </row>
    <row r="11" spans="1:18" ht="15.6" thickBot="1" x14ac:dyDescent="0.35">
      <c r="K11" s="2">
        <f>M11-I4^2/2</f>
        <v>-4.9822033016701239E-2</v>
      </c>
      <c r="M11" s="2">
        <v>1.1427966983298749E-2</v>
      </c>
      <c r="P11" s="2">
        <f ca="1">I1*EXP(K11*I2+I4*NORMSINV(RAND())*I2^0.5)</f>
        <v>100.37583723641964</v>
      </c>
    </row>
    <row r="12" spans="1:18" x14ac:dyDescent="0.3">
      <c r="B12" s="39"/>
      <c r="C12" s="40"/>
      <c r="D12" s="40"/>
      <c r="E12" s="40"/>
      <c r="F12" s="41"/>
      <c r="K12" s="2">
        <f>M12-I4^2/2</f>
        <v>-4.6973559954469279E-2</v>
      </c>
      <c r="M12" s="2">
        <v>1.4276440045530716E-2</v>
      </c>
      <c r="P12" s="2">
        <f ca="1">I1*EXP(K10*I2+I4*NORMSINV(RAND())*I2^0.5)</f>
        <v>39.943291823137841</v>
      </c>
      <c r="R12" s="17"/>
    </row>
    <row r="13" spans="1:18" x14ac:dyDescent="0.3">
      <c r="B13" s="42"/>
      <c r="C13" s="37" t="s">
        <v>46</v>
      </c>
      <c r="D13" s="37"/>
      <c r="E13" s="38">
        <f ca="1">BSECall(P6,M6,I4,I2,L1)</f>
        <v>11.178918440439396</v>
      </c>
      <c r="F13" s="43"/>
      <c r="K13" s="2">
        <f>M13-I4^2/2</f>
        <v>-4.0660006001267762E-2</v>
      </c>
      <c r="M13" s="2">
        <v>2.0589993998732226E-2</v>
      </c>
      <c r="P13" s="2">
        <f ca="1">I1*EXP(K10*I2+I4*NORMSINV(RAND())*I2^0.5)</f>
        <v>116.89198039599817</v>
      </c>
      <c r="R13" s="17"/>
    </row>
    <row r="14" spans="1:18" x14ac:dyDescent="0.3">
      <c r="B14" s="42"/>
      <c r="C14" s="37"/>
      <c r="D14" s="37"/>
      <c r="E14" s="37"/>
      <c r="F14" s="43"/>
      <c r="K14" s="2">
        <f>M14-I4^2/2</f>
        <v>-3.8944988419060182E-2</v>
      </c>
      <c r="M14" s="2">
        <v>2.230501158093981E-2</v>
      </c>
      <c r="P14" s="2">
        <f ca="1">I1*EXP(K10*I2+I4*NORMSINV(RAND())*I2^0.5)</f>
        <v>73.3939160529346</v>
      </c>
    </row>
    <row r="15" spans="1:18" x14ac:dyDescent="0.3">
      <c r="B15" s="42"/>
      <c r="C15" s="37" t="s">
        <v>47</v>
      </c>
      <c r="D15" s="37"/>
      <c r="E15" s="38">
        <f ca="1" xml:space="preserve"> BSEPut(P6,M6,I4,I2,L1)</f>
        <v>9.16377067817373</v>
      </c>
      <c r="F15" s="43"/>
      <c r="K15" s="2">
        <f>M15-I4^2/2</f>
        <v>-4.1974149303716256E-2</v>
      </c>
      <c r="M15" s="2">
        <v>1.9275850696283736E-2</v>
      </c>
      <c r="P15" s="2">
        <f ca="1">I1*EXP(K10*I2+I4*NORMSINV(RAND())*I2^0.5)</f>
        <v>54.802161574539049</v>
      </c>
    </row>
    <row r="16" spans="1:18" ht="15.6" thickBot="1" x14ac:dyDescent="0.35">
      <c r="B16" s="44"/>
      <c r="C16" s="45"/>
      <c r="D16" s="45"/>
      <c r="E16" s="45"/>
      <c r="F16" s="46"/>
      <c r="K16" s="2">
        <f>M16-I4^2/2</f>
        <v>-3.7462562514259626E-2</v>
      </c>
      <c r="M16" s="2">
        <v>2.3787437485740366E-2</v>
      </c>
      <c r="P16" s="2">
        <f ca="1">I1*EXP(K10*I2+I4*NORMSINV(RAND())*I2^0.5)</f>
        <v>111.52918991011379</v>
      </c>
    </row>
    <row r="17" spans="11:16" x14ac:dyDescent="0.3">
      <c r="K17" s="2">
        <f>M17-I4^2/2</f>
        <v>-3.6013274161465325E-2</v>
      </c>
      <c r="M17" s="2">
        <v>2.523672583853467E-2</v>
      </c>
      <c r="P17" s="2">
        <f ca="1">I1*EXP(K10*I2+I4*NORMSINV(RAND())*I2^0.5)</f>
        <v>95.445566470031878</v>
      </c>
    </row>
    <row r="18" spans="11:16" x14ac:dyDescent="0.3">
      <c r="K18" s="2">
        <f>M18-I4^2/2</f>
        <v>-4.18133982400717E-2</v>
      </c>
      <c r="M18" s="2">
        <v>1.9436601759928288E-2</v>
      </c>
      <c r="P18" s="2">
        <f ca="1">I1*EXP(K10*I2+I4*NORMSINV(RAND())*I2^0.5)</f>
        <v>54.401024507366294</v>
      </c>
    </row>
    <row r="19" spans="11:16" x14ac:dyDescent="0.3">
      <c r="K19" s="2">
        <f>M19-I4^2/2</f>
        <v>-3.628280975999075E-2</v>
      </c>
      <c r="M19" s="2">
        <v>2.4967190240009238E-2</v>
      </c>
      <c r="P19" s="2">
        <f ca="1">I1*EXP(K10*I2+I4*NORMSINV(RAND())*I2^0.5)</f>
        <v>69.249233207344858</v>
      </c>
    </row>
    <row r="20" spans="11:16" x14ac:dyDescent="0.3">
      <c r="K20" s="2">
        <f>M20-I4^2/2</f>
        <v>-4.5853319798762025E-2</v>
      </c>
      <c r="M20" s="2">
        <v>1.5396680201237965E-2</v>
      </c>
      <c r="P20" s="2">
        <f ca="1">I1*EXP(K10*I2+I4*NORMSINV(RAND())*I2^0.5)</f>
        <v>116.29782889814244</v>
      </c>
    </row>
    <row r="21" spans="11:16" x14ac:dyDescent="0.3">
      <c r="K21" s="2">
        <f>M21-I4^2/2</f>
        <v>-3.8987010796097565E-2</v>
      </c>
      <c r="M21" s="2">
        <v>2.226298920390243E-2</v>
      </c>
      <c r="P21" s="2">
        <f ca="1">I1*EXP(K10*I2+I4*NORMSINV(RAND())*I2^0.5)</f>
        <v>68.268169610717848</v>
      </c>
    </row>
    <row r="22" spans="11:16" x14ac:dyDescent="0.3">
      <c r="K22" s="2">
        <f>M22-I4^2/2</f>
        <v>-3.265815313379293E-2</v>
      </c>
      <c r="M22" s="2">
        <v>2.8591846866207062E-2</v>
      </c>
      <c r="P22" s="2">
        <f ca="1">I1*EXP(K10*I2+I4*NORMSINV(RAND())*I2^0.5)</f>
        <v>78.051943176212333</v>
      </c>
    </row>
    <row r="23" spans="11:16" x14ac:dyDescent="0.3">
      <c r="K23" s="2">
        <f>M23-I4^2/2</f>
        <v>-4.0133642687984812E-2</v>
      </c>
      <c r="M23" s="2">
        <v>2.111635731201518E-2</v>
      </c>
      <c r="P23" s="2">
        <f ca="1">I1*EXP(K10*I2+I4*NORMSINV(RAND())*I2^0.5)</f>
        <v>48.688871307550258</v>
      </c>
    </row>
    <row r="24" spans="11:16" x14ac:dyDescent="0.3">
      <c r="K24" s="2">
        <f>M24-I4^2/2</f>
        <v>-3.7250333765268012E-2</v>
      </c>
      <c r="M24" s="2">
        <v>2.3999666234731976E-2</v>
      </c>
      <c r="P24" s="2">
        <f ca="1">I1*EXP(K10*I2+I4*NORMSINV(RAND())*I2^0.5)</f>
        <v>53.838733478083647</v>
      </c>
    </row>
    <row r="25" spans="11:16" x14ac:dyDescent="0.3">
      <c r="K25" s="2">
        <f>M25-I4^2/2</f>
        <v>-4.5946085674238017E-2</v>
      </c>
      <c r="M25" s="2">
        <v>1.5303914325761976E-2</v>
      </c>
      <c r="P25" s="2">
        <f ca="1">I1*EXP(K10*I2+I4*NORMSINV(RAND())*I2^0.5)</f>
        <v>39.112077783196064</v>
      </c>
    </row>
    <row r="26" spans="11:16" x14ac:dyDescent="0.3">
      <c r="K26" s="2">
        <f>M26-I4^2/2</f>
        <v>-4.2615261738247173E-2</v>
      </c>
      <c r="M26" s="2">
        <v>1.8634738261752815E-2</v>
      </c>
      <c r="P26" s="2">
        <f ca="1">I1*EXP(K10*I2+I4*NORMSINV(RAND())*I2^0.5)</f>
        <v>54.840901411136031</v>
      </c>
    </row>
    <row r="27" spans="11:16" x14ac:dyDescent="0.3">
      <c r="K27" s="2">
        <f>M27-I4^2/2</f>
        <v>-5.4141856047626356E-2</v>
      </c>
      <c r="M27" s="2">
        <v>7.1081439523736339E-3</v>
      </c>
      <c r="P27" s="2">
        <f ca="1">I1*EXP(K10*I2+I4*NORMSINV(RAND())*I2^0.5)</f>
        <v>55.679119094951467</v>
      </c>
    </row>
    <row r="28" spans="11:16" x14ac:dyDescent="0.3">
      <c r="K28" s="2">
        <f>M28-I4^2/2</f>
        <v>-5.0828402128898109E-2</v>
      </c>
      <c r="M28" s="2">
        <v>1.0421597871101883E-2</v>
      </c>
      <c r="P28" s="2">
        <f ca="1">I1*EXP(K10*I2+I4*NORMSINV(RAND())*I2^0.5)</f>
        <v>50.910612583112425</v>
      </c>
    </row>
    <row r="29" spans="11:16" x14ac:dyDescent="0.3">
      <c r="K29" s="2">
        <f>M29-I4^2/2</f>
        <v>-4.6161896068656776E-2</v>
      </c>
      <c r="M29" s="2">
        <v>1.5088103931343215E-2</v>
      </c>
      <c r="P29" s="2">
        <f ca="1">I1*EXP(K10*I2+I4*NORMSINV(RAND())*I2^0.5)</f>
        <v>116.84811675040216</v>
      </c>
    </row>
    <row r="30" spans="11:16" x14ac:dyDescent="0.3">
      <c r="M30" s="2">
        <v>1.2638019512700938E-2</v>
      </c>
    </row>
    <row r="31" spans="11:16" x14ac:dyDescent="0.3">
      <c r="M31" s="2">
        <v>9.0155611221292703E-3</v>
      </c>
    </row>
    <row r="32" spans="11:16" x14ac:dyDescent="0.3">
      <c r="M32" s="2">
        <v>1.1795529711939324E-2</v>
      </c>
    </row>
    <row r="33" spans="13:13" x14ac:dyDescent="0.3">
      <c r="M33" s="2">
        <v>1.6868751832278241E-2</v>
      </c>
    </row>
    <row r="34" spans="13:13" x14ac:dyDescent="0.3">
      <c r="M34" s="2">
        <v>1.6160798352576451E-2</v>
      </c>
    </row>
    <row r="35" spans="13:13" x14ac:dyDescent="0.3">
      <c r="M35" s="2">
        <v>2.4180532735360041E-2</v>
      </c>
    </row>
    <row r="36" spans="13:13" x14ac:dyDescent="0.3">
      <c r="M36" s="2">
        <v>2.124686938942497E-2</v>
      </c>
    </row>
    <row r="37" spans="13:13" x14ac:dyDescent="0.3">
      <c r="M37" s="2">
        <v>1.8356734301904844E-2</v>
      </c>
    </row>
    <row r="38" spans="13:13" x14ac:dyDescent="0.3">
      <c r="M38" s="2">
        <v>2.6404584169455996E-2</v>
      </c>
    </row>
    <row r="39" spans="13:13" x14ac:dyDescent="0.3">
      <c r="M39" s="2">
        <v>2.0576650524513875E-2</v>
      </c>
    </row>
    <row r="40" spans="13:13" x14ac:dyDescent="0.3">
      <c r="M40" s="2">
        <v>1.6518347117633458E-2</v>
      </c>
    </row>
    <row r="41" spans="13:13" x14ac:dyDescent="0.3">
      <c r="M41" s="2">
        <v>2.7091892866016345E-2</v>
      </c>
    </row>
    <row r="42" spans="13:13" x14ac:dyDescent="0.3">
      <c r="M42" s="2">
        <v>3.3651231277820416E-2</v>
      </c>
    </row>
    <row r="43" spans="13:13" x14ac:dyDescent="0.3">
      <c r="M43" s="2">
        <v>4.0259392344522658E-2</v>
      </c>
    </row>
    <row r="44" spans="13:13" x14ac:dyDescent="0.3">
      <c r="M44" s="2">
        <v>4.5063511573205838E-2</v>
      </c>
    </row>
    <row r="45" spans="13:13" x14ac:dyDescent="0.3">
      <c r="M45" s="2">
        <v>3.0772309441672901E-2</v>
      </c>
    </row>
    <row r="46" spans="13:13" x14ac:dyDescent="0.3">
      <c r="M46" s="2">
        <v>2.2378952175435861E-2</v>
      </c>
    </row>
    <row r="47" spans="13:13" x14ac:dyDescent="0.3">
      <c r="M47" s="2">
        <v>2.5641893040528912E-2</v>
      </c>
    </row>
    <row r="48" spans="13:13" x14ac:dyDescent="0.3">
      <c r="M48" s="2">
        <v>2.891914001372892E-2</v>
      </c>
    </row>
    <row r="49" spans="13:13" x14ac:dyDescent="0.3">
      <c r="M49" s="2">
        <v>2.725483457165831E-2</v>
      </c>
    </row>
    <row r="50" spans="13:13" x14ac:dyDescent="0.3">
      <c r="M50" s="2">
        <v>2.0360196190017072E-2</v>
      </c>
    </row>
    <row r="51" spans="13:13" x14ac:dyDescent="0.3">
      <c r="M51" s="2">
        <v>1.3412939882643912E-2</v>
      </c>
    </row>
    <row r="52" spans="13:13" x14ac:dyDescent="0.3">
      <c r="M52" s="2">
        <v>2.4447823116568495E-2</v>
      </c>
    </row>
    <row r="53" spans="13:13" x14ac:dyDescent="0.3">
      <c r="M53" s="2">
        <v>2.2004893259726786E-2</v>
      </c>
    </row>
    <row r="54" spans="13:13" x14ac:dyDescent="0.3">
      <c r="M54" s="2">
        <v>2.5014448195058561E-2</v>
      </c>
    </row>
    <row r="55" spans="13:13" x14ac:dyDescent="0.3">
      <c r="M55" s="2">
        <v>1.9833902990449771E-2</v>
      </c>
    </row>
    <row r="56" spans="13:13" x14ac:dyDescent="0.3">
      <c r="M56" s="2">
        <v>1.8979198553404998E-2</v>
      </c>
    </row>
    <row r="57" spans="13:13" x14ac:dyDescent="0.3">
      <c r="M57" s="2">
        <v>1.2798235149845814E-2</v>
      </c>
    </row>
    <row r="58" spans="13:13" x14ac:dyDescent="0.3">
      <c r="M58" s="2">
        <v>6.3117460876053518E-3</v>
      </c>
    </row>
    <row r="59" spans="13:13" x14ac:dyDescent="0.3">
      <c r="M59" s="2">
        <v>9.273461815400107E-3</v>
      </c>
    </row>
    <row r="60" spans="13:13" x14ac:dyDescent="0.3">
      <c r="M60" s="2">
        <v>1.1793336781594419E-2</v>
      </c>
    </row>
    <row r="61" spans="13:13" x14ac:dyDescent="0.3">
      <c r="M61" s="2">
        <v>1.7077075807295346E-2</v>
      </c>
    </row>
    <row r="62" spans="13:13" x14ac:dyDescent="0.3">
      <c r="M62" s="2">
        <v>1.6588680076491735E-2</v>
      </c>
    </row>
    <row r="63" spans="13:13" x14ac:dyDescent="0.3">
      <c r="M63" s="2">
        <v>8.4070469261289561E-3</v>
      </c>
    </row>
    <row r="64" spans="13:13" x14ac:dyDescent="0.3">
      <c r="M64" s="2">
        <v>1.3631245774834906E-2</v>
      </c>
    </row>
    <row r="65" spans="13:13" x14ac:dyDescent="0.3">
      <c r="M65" s="2">
        <v>1.4736957152239138E-2</v>
      </c>
    </row>
    <row r="66" spans="13:13" x14ac:dyDescent="0.3">
      <c r="M66" s="2">
        <v>1.7718877348350481E-2</v>
      </c>
    </row>
    <row r="67" spans="13:13" x14ac:dyDescent="0.3">
      <c r="M67" s="2">
        <v>2.2941916229793479E-2</v>
      </c>
    </row>
    <row r="68" spans="13:13" x14ac:dyDescent="0.3">
      <c r="M68" s="2">
        <v>2.9138128087678048E-2</v>
      </c>
    </row>
    <row r="69" spans="13:13" x14ac:dyDescent="0.3">
      <c r="M69" s="2">
        <v>2.0726894556553105E-2</v>
      </c>
    </row>
    <row r="70" spans="13:13" x14ac:dyDescent="0.3">
      <c r="M70" s="2">
        <v>2.0073242816213529E-2</v>
      </c>
    </row>
    <row r="71" spans="13:13" x14ac:dyDescent="0.3">
      <c r="M71" s="2">
        <v>2.0119238743274329E-2</v>
      </c>
    </row>
    <row r="72" spans="13:13" x14ac:dyDescent="0.3">
      <c r="M72" s="2">
        <v>2.3130116609011483E-2</v>
      </c>
    </row>
    <row r="73" spans="13:13" x14ac:dyDescent="0.3">
      <c r="M73" s="2">
        <v>2.7425053848580353E-2</v>
      </c>
    </row>
    <row r="74" spans="13:13" x14ac:dyDescent="0.3">
      <c r="M74" s="2">
        <v>3.2617237088351618E-2</v>
      </c>
    </row>
    <row r="75" spans="13:13" x14ac:dyDescent="0.3">
      <c r="M75" s="2">
        <v>2.4391087012471131E-2</v>
      </c>
    </row>
    <row r="76" spans="13:13" x14ac:dyDescent="0.3">
      <c r="M76" s="2">
        <v>3.2164832367646418E-2</v>
      </c>
    </row>
    <row r="77" spans="13:13" x14ac:dyDescent="0.3">
      <c r="M77" s="2">
        <v>3.8848213397629207E-2</v>
      </c>
    </row>
    <row r="78" spans="13:13" x14ac:dyDescent="0.3">
      <c r="M78" s="2">
        <v>4.1456237464244615E-2</v>
      </c>
    </row>
    <row r="79" spans="13:13" x14ac:dyDescent="0.3">
      <c r="M79" s="2">
        <v>3.4577998734924523E-2</v>
      </c>
    </row>
    <row r="80" spans="13:13" x14ac:dyDescent="0.3">
      <c r="M80" s="2">
        <v>4.2392977125777748E-2</v>
      </c>
    </row>
    <row r="81" spans="13:13" x14ac:dyDescent="0.3">
      <c r="M81" s="2">
        <v>4.2580411049653558E-2</v>
      </c>
    </row>
    <row r="82" spans="13:13" x14ac:dyDescent="0.3">
      <c r="M82" s="2">
        <v>3.5094547851210724E-2</v>
      </c>
    </row>
    <row r="83" spans="13:13" x14ac:dyDescent="0.3">
      <c r="M83" s="2">
        <v>4.3898252903835415E-2</v>
      </c>
    </row>
    <row r="84" spans="13:13" x14ac:dyDescent="0.3">
      <c r="M84" s="2">
        <v>3.7195665175371782E-2</v>
      </c>
    </row>
    <row r="85" spans="13:13" x14ac:dyDescent="0.3">
      <c r="M85" s="2">
        <v>3.935875352143757E-2</v>
      </c>
    </row>
    <row r="86" spans="13:13" x14ac:dyDescent="0.3">
      <c r="M86" s="2">
        <v>3.890551628121882E-2</v>
      </c>
    </row>
    <row r="87" spans="13:13" x14ac:dyDescent="0.3">
      <c r="M87" s="2">
        <v>3.6102547202961389E-2</v>
      </c>
    </row>
    <row r="88" spans="13:13" x14ac:dyDescent="0.3">
      <c r="M88" s="2">
        <v>3.1917437546704959E-2</v>
      </c>
    </row>
    <row r="89" spans="13:13" x14ac:dyDescent="0.3">
      <c r="M89" s="2">
        <v>3.2717649099083555E-2</v>
      </c>
    </row>
    <row r="90" spans="13:13" x14ac:dyDescent="0.3">
      <c r="M90" s="2">
        <v>4.2384608723887086E-2</v>
      </c>
    </row>
    <row r="91" spans="13:13" x14ac:dyDescent="0.3">
      <c r="M91" s="2">
        <v>5.3657198731894944E-2</v>
      </c>
    </row>
    <row r="92" spans="13:13" x14ac:dyDescent="0.3">
      <c r="M92" s="2">
        <v>5.9601173049725176E-2</v>
      </c>
    </row>
    <row r="93" spans="13:13" x14ac:dyDescent="0.3">
      <c r="M93" s="2">
        <v>6.7139893977153142E-2</v>
      </c>
    </row>
    <row r="94" spans="13:13" x14ac:dyDescent="0.3">
      <c r="M94" s="2">
        <v>6.6213050759731065E-2</v>
      </c>
    </row>
    <row r="95" spans="13:13" x14ac:dyDescent="0.3">
      <c r="M95" s="2">
        <v>6.4389573768529787E-2</v>
      </c>
    </row>
    <row r="96" spans="13:13" x14ac:dyDescent="0.3">
      <c r="M96" s="2">
        <v>6.5859592743036335E-2</v>
      </c>
    </row>
    <row r="97" spans="13:13" x14ac:dyDescent="0.3">
      <c r="M97" s="2">
        <v>6.6771883094000228E-2</v>
      </c>
    </row>
    <row r="98" spans="13:13" x14ac:dyDescent="0.3">
      <c r="M98" s="2">
        <v>5.2005156096770623E-2</v>
      </c>
    </row>
    <row r="99" spans="13:13" x14ac:dyDescent="0.3">
      <c r="M99" s="2">
        <v>5.9397628547840656E-2</v>
      </c>
    </row>
    <row r="100" spans="13:13" x14ac:dyDescent="0.3">
      <c r="M100" s="2">
        <v>5.8777768138829754E-2</v>
      </c>
    </row>
    <row r="101" spans="13:13" x14ac:dyDescent="0.3">
      <c r="M101" s="2">
        <v>5.0298728173261351E-2</v>
      </c>
    </row>
    <row r="102" spans="13:13" x14ac:dyDescent="0.3">
      <c r="M102" s="2">
        <v>4.9568941417129045E-2</v>
      </c>
    </row>
    <row r="103" spans="13:13" x14ac:dyDescent="0.3">
      <c r="M103" s="2">
        <v>4.2307154713869199E-2</v>
      </c>
    </row>
    <row r="104" spans="13:13" x14ac:dyDescent="0.3">
      <c r="M104" s="2">
        <v>3.9080491580337932E-2</v>
      </c>
    </row>
    <row r="105" spans="13:13" x14ac:dyDescent="0.3">
      <c r="M105" s="2">
        <v>4.6404870732548363E-2</v>
      </c>
    </row>
    <row r="106" spans="13:13" x14ac:dyDescent="0.3">
      <c r="M106" s="2">
        <v>4.7380932943987319E-2</v>
      </c>
    </row>
    <row r="107" spans="13:13" x14ac:dyDescent="0.3">
      <c r="M107" s="2">
        <v>4.7377426674523743E-2</v>
      </c>
    </row>
    <row r="108" spans="13:13" x14ac:dyDescent="0.3">
      <c r="M108" s="2">
        <v>3.2463835362193175E-2</v>
      </c>
    </row>
    <row r="109" spans="13:13" x14ac:dyDescent="0.3">
      <c r="M109" s="2">
        <v>2.3394192667628152E-2</v>
      </c>
    </row>
    <row r="110" spans="13:13" x14ac:dyDescent="0.3">
      <c r="M110" s="2">
        <v>2.6148564253716602E-2</v>
      </c>
    </row>
    <row r="111" spans="13:13" x14ac:dyDescent="0.3">
      <c r="M111" s="2">
        <v>2.8784210296863868E-2</v>
      </c>
    </row>
    <row r="112" spans="13:13" x14ac:dyDescent="0.3">
      <c r="M112" s="2">
        <v>2.876946942820224E-2</v>
      </c>
    </row>
    <row r="113" spans="13:13" x14ac:dyDescent="0.3">
      <c r="M113" s="2">
        <v>3.139135867587859E-2</v>
      </c>
    </row>
    <row r="114" spans="13:13" x14ac:dyDescent="0.3">
      <c r="M114" s="2">
        <v>2.7454522733553421E-2</v>
      </c>
    </row>
    <row r="115" spans="13:13" x14ac:dyDescent="0.3">
      <c r="M115" s="2">
        <v>3.675415788172294E-2</v>
      </c>
    </row>
    <row r="116" spans="13:13" x14ac:dyDescent="0.3">
      <c r="M116" s="2">
        <v>3.5357758339894615E-2</v>
      </c>
    </row>
    <row r="117" spans="13:13" x14ac:dyDescent="0.3">
      <c r="M117" s="2">
        <v>3.7710014148046443E-2</v>
      </c>
    </row>
    <row r="118" spans="13:13" x14ac:dyDescent="0.3">
      <c r="M118" s="2">
        <v>3.7908260073513347E-2</v>
      </c>
    </row>
    <row r="119" spans="13:13" x14ac:dyDescent="0.3">
      <c r="M119" s="2">
        <v>3.2918889146952991E-2</v>
      </c>
    </row>
    <row r="120" spans="13:13" x14ac:dyDescent="0.3">
      <c r="M120" s="2">
        <v>4.2387276673299487E-2</v>
      </c>
    </row>
    <row r="121" spans="13:13" x14ac:dyDescent="0.3">
      <c r="M121" s="2">
        <v>4.5616079775555221E-2</v>
      </c>
    </row>
    <row r="122" spans="13:13" x14ac:dyDescent="0.3">
      <c r="M122" s="2">
        <v>4.4489467806942108E-2</v>
      </c>
    </row>
    <row r="123" spans="13:13" x14ac:dyDescent="0.3">
      <c r="M123" s="2">
        <v>4.3748923537332229E-2</v>
      </c>
    </row>
    <row r="124" spans="13:13" x14ac:dyDescent="0.3">
      <c r="M124" s="2">
        <v>3.5674529175863272E-2</v>
      </c>
    </row>
    <row r="125" spans="13:13" x14ac:dyDescent="0.3">
      <c r="M125" s="2">
        <v>3.5863864286926408E-2</v>
      </c>
    </row>
    <row r="126" spans="13:13" x14ac:dyDescent="0.3">
      <c r="M126" s="2">
        <v>3.0176943309437602E-2</v>
      </c>
    </row>
    <row r="127" spans="13:13" x14ac:dyDescent="0.3">
      <c r="M127" s="2">
        <v>1.7567836963931837E-2</v>
      </c>
    </row>
    <row r="128" spans="13:13" x14ac:dyDescent="0.3">
      <c r="M128" s="2">
        <v>1.6099483262929936E-2</v>
      </c>
    </row>
    <row r="129" spans="13:13" x14ac:dyDescent="0.3">
      <c r="M129" s="2">
        <v>2.0664846510587417E-2</v>
      </c>
    </row>
    <row r="130" spans="13:13" x14ac:dyDescent="0.3">
      <c r="M130" s="2">
        <v>2.1293414002857506E-2</v>
      </c>
    </row>
    <row r="131" spans="13:13" x14ac:dyDescent="0.3">
      <c r="M131" s="2">
        <v>1.5769758155114572E-2</v>
      </c>
    </row>
    <row r="132" spans="13:13" x14ac:dyDescent="0.3">
      <c r="M132" s="2">
        <v>1.777765486308909E-2</v>
      </c>
    </row>
    <row r="133" spans="13:13" x14ac:dyDescent="0.3">
      <c r="M133" s="2">
        <v>1.1100525091551935E-3</v>
      </c>
    </row>
    <row r="134" spans="13:13" x14ac:dyDescent="0.3">
      <c r="M134" s="2">
        <v>-3.3530304691204433E-3</v>
      </c>
    </row>
    <row r="135" spans="13:13" x14ac:dyDescent="0.3">
      <c r="M135" s="2">
        <v>-1.1590704196665537E-2</v>
      </c>
    </row>
    <row r="136" spans="13:13" x14ac:dyDescent="0.3">
      <c r="M136" s="2">
        <v>-9.8758293216829867E-3</v>
      </c>
    </row>
    <row r="137" spans="13:13" x14ac:dyDescent="0.3">
      <c r="M137" s="2">
        <v>-1.5271379714746758E-2</v>
      </c>
    </row>
    <row r="138" spans="13:13" x14ac:dyDescent="0.3">
      <c r="M138" s="2">
        <v>-1.2397763005645664E-2</v>
      </c>
    </row>
    <row r="139" spans="13:13" x14ac:dyDescent="0.3">
      <c r="M139" s="2">
        <v>-6.2779906155424389E-3</v>
      </c>
    </row>
    <row r="140" spans="13:13" x14ac:dyDescent="0.3">
      <c r="M140" s="2">
        <v>-9.8715604292968408E-3</v>
      </c>
    </row>
    <row r="141" spans="13:13" x14ac:dyDescent="0.3">
      <c r="M141" s="2">
        <v>-2.069276339720828E-2</v>
      </c>
    </row>
    <row r="142" spans="13:13" x14ac:dyDescent="0.3">
      <c r="M142" s="2">
        <v>-2.8944372818916986E-2</v>
      </c>
    </row>
    <row r="143" spans="13:13" x14ac:dyDescent="0.3">
      <c r="M143" s="2">
        <v>-3.7337362944594325E-2</v>
      </c>
    </row>
    <row r="144" spans="13:13" x14ac:dyDescent="0.3">
      <c r="M144" s="2">
        <v>-3.8367343317544114E-2</v>
      </c>
    </row>
    <row r="145" spans="13:13" x14ac:dyDescent="0.3">
      <c r="M145" s="2">
        <v>-4.3633882652415218E-2</v>
      </c>
    </row>
    <row r="146" spans="13:13" x14ac:dyDescent="0.3">
      <c r="M146" s="2">
        <v>-4.1348499132090308E-2</v>
      </c>
    </row>
    <row r="147" spans="13:13" x14ac:dyDescent="0.3">
      <c r="M147" s="2">
        <v>-3.5147275653299129E-2</v>
      </c>
    </row>
    <row r="148" spans="13:13" x14ac:dyDescent="0.3">
      <c r="M148" s="2">
        <v>-2.8285131482018697E-2</v>
      </c>
    </row>
    <row r="149" spans="13:13" x14ac:dyDescent="0.3">
      <c r="M149" s="2">
        <v>-2.059068137976203E-2</v>
      </c>
    </row>
    <row r="150" spans="13:13" x14ac:dyDescent="0.3">
      <c r="M150" s="2">
        <v>-1.6447753948168727E-2</v>
      </c>
    </row>
    <row r="151" spans="13:13" x14ac:dyDescent="0.3">
      <c r="M151" s="2">
        <v>-1.1264256761707975E-2</v>
      </c>
    </row>
    <row r="152" spans="13:13" x14ac:dyDescent="0.3">
      <c r="M152" s="2">
        <v>-1.6667380324468874E-2</v>
      </c>
    </row>
    <row r="153" spans="13:13" x14ac:dyDescent="0.3">
      <c r="M153" s="2">
        <v>-1.1476188090534557E-2</v>
      </c>
    </row>
    <row r="154" spans="13:13" x14ac:dyDescent="0.3">
      <c r="M154" s="2">
        <v>-2.0055653292218537E-2</v>
      </c>
    </row>
    <row r="155" spans="13:13" x14ac:dyDescent="0.3">
      <c r="M155" s="2">
        <v>-2.228839264569633E-2</v>
      </c>
    </row>
    <row r="156" spans="13:13" x14ac:dyDescent="0.3">
      <c r="M156" s="2">
        <v>-2.2439255133116499E-2</v>
      </c>
    </row>
    <row r="157" spans="13:13" x14ac:dyDescent="0.3">
      <c r="M157" s="2">
        <v>-2.6342825029517163E-2</v>
      </c>
    </row>
    <row r="158" spans="13:13" x14ac:dyDescent="0.3">
      <c r="M158" s="2">
        <v>-1.7019193910205802E-2</v>
      </c>
    </row>
    <row r="159" spans="13:13" x14ac:dyDescent="0.3">
      <c r="M159" s="2">
        <v>-1.7312960069377274E-2</v>
      </c>
    </row>
    <row r="160" spans="13:13" x14ac:dyDescent="0.3">
      <c r="M160" s="2">
        <v>-1.969341585706973E-2</v>
      </c>
    </row>
    <row r="161" spans="13:13" x14ac:dyDescent="0.3">
      <c r="M161" s="2">
        <v>-2.6815754381249619E-2</v>
      </c>
    </row>
    <row r="162" spans="13:13" x14ac:dyDescent="0.3">
      <c r="M162" s="2">
        <v>-2.1494542938280042E-2</v>
      </c>
    </row>
    <row r="163" spans="13:13" x14ac:dyDescent="0.3">
      <c r="M163" s="2">
        <v>-2.5707897173035909E-2</v>
      </c>
    </row>
    <row r="164" spans="13:13" x14ac:dyDescent="0.3">
      <c r="M164" s="2">
        <v>-3.6627987692955312E-2</v>
      </c>
    </row>
    <row r="165" spans="13:13" x14ac:dyDescent="0.3">
      <c r="M165" s="2">
        <v>-2.8072015467396284E-2</v>
      </c>
    </row>
    <row r="166" spans="13:13" x14ac:dyDescent="0.3">
      <c r="M166" s="2">
        <v>-2.8710606634699071E-2</v>
      </c>
    </row>
    <row r="167" spans="13:13" x14ac:dyDescent="0.3">
      <c r="M167" s="2">
        <v>-2.8812129756358103E-2</v>
      </c>
    </row>
    <row r="168" spans="13:13" x14ac:dyDescent="0.3">
      <c r="M168" s="2">
        <v>-3.41409827616386E-2</v>
      </c>
    </row>
    <row r="169" spans="13:13" x14ac:dyDescent="0.3">
      <c r="M169" s="2">
        <v>-3.3654439989981744E-2</v>
      </c>
    </row>
    <row r="170" spans="13:13" x14ac:dyDescent="0.3">
      <c r="M170" s="2">
        <v>-3.4554074497269958E-2</v>
      </c>
    </row>
    <row r="171" spans="13:13" x14ac:dyDescent="0.3">
      <c r="M171" s="2">
        <v>-2.2757308978208535E-2</v>
      </c>
    </row>
    <row r="172" spans="13:13" x14ac:dyDescent="0.3">
      <c r="M172" s="2">
        <v>-1.6229019826951685E-2</v>
      </c>
    </row>
    <row r="173" spans="13:13" x14ac:dyDescent="0.3">
      <c r="M173" s="2">
        <v>-1.9946135650484038E-2</v>
      </c>
    </row>
    <row r="174" spans="13:13" x14ac:dyDescent="0.3">
      <c r="M174" s="2">
        <v>-2.3149909905519704E-2</v>
      </c>
    </row>
    <row r="175" spans="13:13" x14ac:dyDescent="0.3">
      <c r="M175" s="2">
        <v>-2.3445956331094531E-2</v>
      </c>
    </row>
    <row r="176" spans="13:13" x14ac:dyDescent="0.3">
      <c r="M176" s="2">
        <v>-2.3362084043756271E-2</v>
      </c>
    </row>
    <row r="177" spans="13:13" x14ac:dyDescent="0.3">
      <c r="M177" s="2">
        <v>-1.8941828571069241E-2</v>
      </c>
    </row>
    <row r="178" spans="13:13" x14ac:dyDescent="0.3">
      <c r="M178" s="2">
        <v>-1.9149960657283326E-2</v>
      </c>
    </row>
    <row r="179" spans="13:13" x14ac:dyDescent="0.3">
      <c r="M179" s="2">
        <v>-2.7188894825675755E-2</v>
      </c>
    </row>
    <row r="180" spans="13:13" x14ac:dyDescent="0.3">
      <c r="M180" s="2">
        <v>-2.6794480260912374E-2</v>
      </c>
    </row>
    <row r="181" spans="13:13" x14ac:dyDescent="0.3">
      <c r="M181" s="2">
        <v>-1.8843578863269258E-2</v>
      </c>
    </row>
    <row r="182" spans="13:13" x14ac:dyDescent="0.3">
      <c r="M182" s="2">
        <v>-1.1557433338566504E-2</v>
      </c>
    </row>
    <row r="183" spans="13:13" x14ac:dyDescent="0.3">
      <c r="M183" s="2">
        <v>-4.2207061392303411E-3</v>
      </c>
    </row>
    <row r="184" spans="13:13" x14ac:dyDescent="0.3">
      <c r="M184" s="2">
        <v>-9.4355748888422138E-3</v>
      </c>
    </row>
    <row r="185" spans="13:13" x14ac:dyDescent="0.3">
      <c r="M185" s="2">
        <v>-8.3043615020943623E-3</v>
      </c>
    </row>
    <row r="186" spans="13:13" x14ac:dyDescent="0.3">
      <c r="M186" s="2">
        <v>-1.1733376963914226E-2</v>
      </c>
    </row>
    <row r="187" spans="13:13" x14ac:dyDescent="0.3">
      <c r="M187" s="2">
        <v>-2.274843947229762E-2</v>
      </c>
    </row>
    <row r="188" spans="13:13" x14ac:dyDescent="0.3">
      <c r="M188" s="2">
        <v>-2.4273497502461449E-2</v>
      </c>
    </row>
    <row r="189" spans="13:13" x14ac:dyDescent="0.3">
      <c r="M189" s="2">
        <v>-1.4245444612830034E-2</v>
      </c>
    </row>
    <row r="190" spans="13:13" x14ac:dyDescent="0.3">
      <c r="M190" s="2">
        <v>-1.1015337922857771E-2</v>
      </c>
    </row>
    <row r="191" spans="13:13" x14ac:dyDescent="0.3">
      <c r="M191" s="2">
        <v>-1.8583242188686434E-2</v>
      </c>
    </row>
    <row r="192" spans="13:13" x14ac:dyDescent="0.3">
      <c r="M192" s="2">
        <v>-1.3905521751042749E-2</v>
      </c>
    </row>
    <row r="193" spans="13:13" x14ac:dyDescent="0.3">
      <c r="M193" s="2">
        <v>-4.4240925793901141E-3</v>
      </c>
    </row>
    <row r="194" spans="13:13" x14ac:dyDescent="0.3">
      <c r="M194" s="2">
        <v>-7.2349663112417466E-3</v>
      </c>
    </row>
    <row r="195" spans="13:13" x14ac:dyDescent="0.3">
      <c r="M195" s="2">
        <v>-6.8224292729955009E-3</v>
      </c>
    </row>
    <row r="196" spans="13:13" x14ac:dyDescent="0.3">
      <c r="M196" s="2">
        <v>1.0785225849144957E-4</v>
      </c>
    </row>
    <row r="197" spans="13:13" x14ac:dyDescent="0.3">
      <c r="M197" s="2">
        <v>6.5013036805545623E-3</v>
      </c>
    </row>
    <row r="198" spans="13:13" x14ac:dyDescent="0.3">
      <c r="M198" s="2">
        <v>2.7080188231978024E-3</v>
      </c>
    </row>
    <row r="199" spans="13:13" x14ac:dyDescent="0.3">
      <c r="M199" s="2">
        <v>-6.4777004215022683E-3</v>
      </c>
    </row>
    <row r="200" spans="13:13" x14ac:dyDescent="0.3">
      <c r="M200" s="2">
        <v>-9.8142920145553435E-3</v>
      </c>
    </row>
    <row r="201" spans="13:13" x14ac:dyDescent="0.3">
      <c r="M201" s="2">
        <v>-8.1629441574253801E-3</v>
      </c>
    </row>
    <row r="202" spans="13:13" x14ac:dyDescent="0.3">
      <c r="M202" s="2">
        <v>-4.2562516236384759E-3</v>
      </c>
    </row>
    <row r="203" spans="13:13" x14ac:dyDescent="0.3">
      <c r="M203" s="2">
        <v>-5.7630740268835171E-3</v>
      </c>
    </row>
    <row r="204" spans="13:13" x14ac:dyDescent="0.3">
      <c r="M204" s="2">
        <v>-6.6725625189307074E-3</v>
      </c>
    </row>
    <row r="205" spans="13:13" x14ac:dyDescent="0.3">
      <c r="M205" s="2">
        <v>-9.0417273188709811E-3</v>
      </c>
    </row>
    <row r="206" spans="13:13" x14ac:dyDescent="0.3">
      <c r="M206" s="2">
        <v>-2.6932983958347237E-3</v>
      </c>
    </row>
    <row r="207" spans="13:13" x14ac:dyDescent="0.3">
      <c r="M207" s="2">
        <v>2.8481577846489422E-4</v>
      </c>
    </row>
    <row r="208" spans="13:13" x14ac:dyDescent="0.3">
      <c r="M208" s="2">
        <v>3.1166037663401666E-3</v>
      </c>
    </row>
    <row r="209" spans="13:13" x14ac:dyDescent="0.3">
      <c r="M209" s="2">
        <v>2.3108232682512476E-3</v>
      </c>
    </row>
    <row r="210" spans="13:13" x14ac:dyDescent="0.3">
      <c r="M210" s="2">
        <v>-1.5170094403902884E-3</v>
      </c>
    </row>
    <row r="211" spans="13:13" x14ac:dyDescent="0.3">
      <c r="M211" s="2">
        <v>-6.0320860289485032E-3</v>
      </c>
    </row>
    <row r="212" spans="13:13" x14ac:dyDescent="0.3">
      <c r="M212" s="2">
        <v>-1.7405098449640194E-3</v>
      </c>
    </row>
    <row r="213" spans="13:13" x14ac:dyDescent="0.3">
      <c r="M213" s="2">
        <v>7.2352395084010427E-3</v>
      </c>
    </row>
    <row r="214" spans="13:13" x14ac:dyDescent="0.3">
      <c r="M214" s="2">
        <v>1.5979831079465465E-2</v>
      </c>
    </row>
    <row r="215" spans="13:13" x14ac:dyDescent="0.3">
      <c r="M215" s="2">
        <v>1.0883949322633556E-2</v>
      </c>
    </row>
    <row r="216" spans="13:13" x14ac:dyDescent="0.3">
      <c r="M216" s="2">
        <v>8.8506198924539255E-3</v>
      </c>
    </row>
    <row r="217" spans="13:13" x14ac:dyDescent="0.3">
      <c r="M217" s="2">
        <v>2.0405646077451173E-2</v>
      </c>
    </row>
    <row r="218" spans="13:13" x14ac:dyDescent="0.3">
      <c r="M218" s="2">
        <v>2.1576075545459719E-2</v>
      </c>
    </row>
    <row r="219" spans="13:13" x14ac:dyDescent="0.3">
      <c r="M219" s="2">
        <v>1.5694772372432643E-2</v>
      </c>
    </row>
    <row r="220" spans="13:13" x14ac:dyDescent="0.3">
      <c r="M220" s="2">
        <v>1.335754077220592E-2</v>
      </c>
    </row>
    <row r="221" spans="13:13" x14ac:dyDescent="0.3">
      <c r="M221" s="2">
        <v>1.0231298929545893E-2</v>
      </c>
    </row>
    <row r="222" spans="13:13" x14ac:dyDescent="0.3">
      <c r="M222" s="2">
        <v>7.803107225919247E-3</v>
      </c>
    </row>
    <row r="223" spans="13:13" x14ac:dyDescent="0.3">
      <c r="M223" s="2">
        <v>1.1991849043665364E-2</v>
      </c>
    </row>
    <row r="224" spans="13:13" x14ac:dyDescent="0.3">
      <c r="M224" s="2">
        <v>1.234750958722405E-2</v>
      </c>
    </row>
    <row r="225" spans="13:13" x14ac:dyDescent="0.3">
      <c r="M225" s="2">
        <v>7.3405760953387696E-3</v>
      </c>
    </row>
    <row r="226" spans="13:13" x14ac:dyDescent="0.3">
      <c r="M226" s="2">
        <v>4.5683387774425131E-3</v>
      </c>
    </row>
    <row r="227" spans="13:13" x14ac:dyDescent="0.3">
      <c r="M227" s="2">
        <v>8.9234741625534401E-3</v>
      </c>
    </row>
    <row r="228" spans="13:13" x14ac:dyDescent="0.3">
      <c r="M228" s="2">
        <v>5.4753830567872315E-3</v>
      </c>
    </row>
    <row r="229" spans="13:13" x14ac:dyDescent="0.3">
      <c r="M229" s="2">
        <v>9.4492809331333354E-3</v>
      </c>
    </row>
    <row r="230" spans="13:13" x14ac:dyDescent="0.3">
      <c r="M230" s="2">
        <v>1.1773155761356223E-2</v>
      </c>
    </row>
    <row r="231" spans="13:13" x14ac:dyDescent="0.3">
      <c r="M231" s="2">
        <v>1.8119596137552554E-2</v>
      </c>
    </row>
    <row r="232" spans="13:13" x14ac:dyDescent="0.3">
      <c r="M232" s="2">
        <v>1.2737663177742704E-2</v>
      </c>
    </row>
    <row r="233" spans="13:13" x14ac:dyDescent="0.3">
      <c r="M233" s="2">
        <v>9.002766782529599E-3</v>
      </c>
    </row>
    <row r="234" spans="13:13" x14ac:dyDescent="0.3">
      <c r="M234" s="2">
        <v>1.2871335440235896E-2</v>
      </c>
    </row>
    <row r="235" spans="13:13" x14ac:dyDescent="0.3">
      <c r="M235" s="2">
        <v>8.2057778720948105E-3</v>
      </c>
    </row>
    <row r="236" spans="13:13" x14ac:dyDescent="0.3">
      <c r="M236" s="2">
        <v>-2.6079264379722683E-3</v>
      </c>
    </row>
    <row r="237" spans="13:13" x14ac:dyDescent="0.3">
      <c r="M237" s="2">
        <v>-1.7197143826423904E-3</v>
      </c>
    </row>
    <row r="238" spans="13:13" x14ac:dyDescent="0.3">
      <c r="M238" s="2">
        <v>-3.1455222205963025E-3</v>
      </c>
    </row>
    <row r="239" spans="13:13" x14ac:dyDescent="0.3">
      <c r="M239" s="2">
        <v>-1.984707570658184E-3</v>
      </c>
    </row>
    <row r="240" spans="13:13" x14ac:dyDescent="0.3">
      <c r="M240" s="2">
        <v>-7.7239996223861084E-3</v>
      </c>
    </row>
    <row r="241" spans="13:13" x14ac:dyDescent="0.3">
      <c r="M241" s="2">
        <v>-1.5646182222603625E-2</v>
      </c>
    </row>
    <row r="242" spans="13:13" x14ac:dyDescent="0.3">
      <c r="M242" s="2">
        <v>-2.1760605281444502E-2</v>
      </c>
    </row>
    <row r="243" spans="13:13" x14ac:dyDescent="0.3">
      <c r="M243" s="2">
        <v>-2.7802802792278487E-2</v>
      </c>
    </row>
    <row r="244" spans="13:13" x14ac:dyDescent="0.3">
      <c r="M244" s="2">
        <v>-3.1957069168847926E-2</v>
      </c>
    </row>
    <row r="245" spans="13:13" x14ac:dyDescent="0.3">
      <c r="M245" s="2">
        <v>-2.7733483621416016E-2</v>
      </c>
    </row>
    <row r="246" spans="13:13" x14ac:dyDescent="0.3">
      <c r="M246" s="2">
        <v>-3.018747842782267E-2</v>
      </c>
    </row>
    <row r="247" spans="13:13" x14ac:dyDescent="0.3">
      <c r="M247" s="2">
        <v>-4.1320246348016273E-2</v>
      </c>
    </row>
    <row r="248" spans="13:13" x14ac:dyDescent="0.3">
      <c r="M248" s="2">
        <v>-3.9852458041718004E-2</v>
      </c>
    </row>
    <row r="249" spans="13:13" x14ac:dyDescent="0.3">
      <c r="M249" s="2">
        <v>-4.7653106473514208E-2</v>
      </c>
    </row>
    <row r="250" spans="13:13" x14ac:dyDescent="0.3">
      <c r="M250" s="2">
        <v>-5.1802333146620437E-2</v>
      </c>
    </row>
    <row r="251" spans="13:13" x14ac:dyDescent="0.3">
      <c r="M251" s="2">
        <v>-5.0846178061593354E-2</v>
      </c>
    </row>
    <row r="252" spans="13:13" x14ac:dyDescent="0.3">
      <c r="M252" s="2">
        <v>-5.2726669685445447E-2</v>
      </c>
    </row>
    <row r="253" spans="13:13" x14ac:dyDescent="0.3">
      <c r="M253" s="2">
        <v>-3.9145473561034989E-2</v>
      </c>
    </row>
    <row r="254" spans="13:13" x14ac:dyDescent="0.3">
      <c r="M254" s="2">
        <v>-2.9541238406411017E-2</v>
      </c>
    </row>
    <row r="255" spans="13:13" x14ac:dyDescent="0.3">
      <c r="M255" s="2">
        <v>-4.1886669330298859E-2</v>
      </c>
    </row>
    <row r="256" spans="13:13" x14ac:dyDescent="0.3">
      <c r="M256" s="2">
        <v>-4.2010703315136011E-2</v>
      </c>
    </row>
    <row r="257" spans="13:13" x14ac:dyDescent="0.3">
      <c r="M257" s="2">
        <v>-4.0822474228049549E-2</v>
      </c>
    </row>
    <row r="258" spans="13:13" x14ac:dyDescent="0.3">
      <c r="M258" s="2">
        <v>-3.3700588941485358E-2</v>
      </c>
    </row>
    <row r="259" spans="13:13" x14ac:dyDescent="0.3">
      <c r="M259" s="2">
        <v>-2.3303763592142132E-2</v>
      </c>
    </row>
    <row r="260" spans="13:13" x14ac:dyDescent="0.3">
      <c r="M260" s="2">
        <v>-2.4103743135837505E-2</v>
      </c>
    </row>
    <row r="261" spans="13:13" x14ac:dyDescent="0.3">
      <c r="M261" s="2">
        <v>-2.5467641029033743E-2</v>
      </c>
    </row>
    <row r="262" spans="13:13" x14ac:dyDescent="0.3">
      <c r="M262" s="2">
        <v>-2.8213996996350806E-2</v>
      </c>
    </row>
    <row r="263" spans="13:13" x14ac:dyDescent="0.3">
      <c r="M263" s="2">
        <v>-2.304353323059018E-2</v>
      </c>
    </row>
    <row r="264" spans="13:13" x14ac:dyDescent="0.3">
      <c r="M264" s="2">
        <v>-1.0832274199391631E-2</v>
      </c>
    </row>
    <row r="265" spans="13:13" x14ac:dyDescent="0.3">
      <c r="M265" s="2">
        <v>-1.7675762712735646E-2</v>
      </c>
    </row>
    <row r="266" spans="13:13" x14ac:dyDescent="0.3">
      <c r="M266" s="2">
        <v>-1.6279365007849822E-2</v>
      </c>
    </row>
    <row r="267" spans="13:13" x14ac:dyDescent="0.3">
      <c r="M267" s="2">
        <v>-2.150399453337631E-2</v>
      </c>
    </row>
    <row r="268" spans="13:13" x14ac:dyDescent="0.3">
      <c r="M268" s="2">
        <v>-1.7069569900738248E-2</v>
      </c>
    </row>
    <row r="269" spans="13:13" x14ac:dyDescent="0.3">
      <c r="M269" s="2">
        <v>-2.6174158332434271E-2</v>
      </c>
    </row>
    <row r="270" spans="13:13" x14ac:dyDescent="0.3">
      <c r="M270" s="2">
        <v>-2.1454471371961183E-2</v>
      </c>
    </row>
    <row r="271" spans="13:13" x14ac:dyDescent="0.3">
      <c r="M271" s="2">
        <v>-2.5854607191989187E-2</v>
      </c>
    </row>
    <row r="272" spans="13:13" x14ac:dyDescent="0.3">
      <c r="M272" s="2">
        <v>-3.5632033696023128E-2</v>
      </c>
    </row>
    <row r="273" spans="13:13" x14ac:dyDescent="0.3">
      <c r="M273" s="2">
        <v>-2.8312449092676484E-2</v>
      </c>
    </row>
    <row r="274" spans="13:13" x14ac:dyDescent="0.3">
      <c r="M274" s="2">
        <v>-3.2209116614982762E-2</v>
      </c>
    </row>
    <row r="275" spans="13:13" x14ac:dyDescent="0.3">
      <c r="M275" s="2">
        <v>-2.925622072497424E-2</v>
      </c>
    </row>
    <row r="276" spans="13:13" x14ac:dyDescent="0.3">
      <c r="M276" s="2">
        <v>-3.4580651000520657E-2</v>
      </c>
    </row>
    <row r="277" spans="13:13" x14ac:dyDescent="0.3">
      <c r="M277" s="2">
        <v>-2.6185921698495526E-2</v>
      </c>
    </row>
    <row r="278" spans="13:13" x14ac:dyDescent="0.3">
      <c r="M278" s="2">
        <v>-2.5653050818981966E-2</v>
      </c>
    </row>
    <row r="279" spans="13:13" x14ac:dyDescent="0.3">
      <c r="M279" s="2">
        <v>-3.2023028042592085E-2</v>
      </c>
    </row>
    <row r="280" spans="13:13" x14ac:dyDescent="0.3">
      <c r="M280" s="2">
        <v>-2.679366957689094E-2</v>
      </c>
    </row>
    <row r="281" spans="13:13" x14ac:dyDescent="0.3">
      <c r="M281" s="2">
        <v>-2.9659958526817118E-2</v>
      </c>
    </row>
    <row r="282" spans="13:13" x14ac:dyDescent="0.3">
      <c r="M282" s="2">
        <v>-3.4034771105490885E-2</v>
      </c>
    </row>
    <row r="283" spans="13:13" x14ac:dyDescent="0.3">
      <c r="M283" s="2">
        <v>-3.5533740781097126E-2</v>
      </c>
    </row>
    <row r="284" spans="13:13" x14ac:dyDescent="0.3">
      <c r="M284" s="2">
        <v>-4.2710338520273873E-2</v>
      </c>
    </row>
    <row r="285" spans="13:13" x14ac:dyDescent="0.3">
      <c r="M285" s="2">
        <v>-5.3353555737099469E-2</v>
      </c>
    </row>
    <row r="286" spans="13:13" x14ac:dyDescent="0.3">
      <c r="M286" s="2">
        <v>-5.6099644252069009E-2</v>
      </c>
    </row>
    <row r="287" spans="13:13" x14ac:dyDescent="0.3">
      <c r="M287" s="2">
        <v>-5.5854167865836218E-2</v>
      </c>
    </row>
    <row r="288" spans="13:13" x14ac:dyDescent="0.3">
      <c r="M288" s="2">
        <v>-4.872578600656266E-2</v>
      </c>
    </row>
    <row r="289" spans="13:13" x14ac:dyDescent="0.3">
      <c r="M289" s="2">
        <v>-4.7941835505288688E-2</v>
      </c>
    </row>
    <row r="290" spans="13:13" x14ac:dyDescent="0.3">
      <c r="M290" s="2">
        <v>-5.4422577934337198E-2</v>
      </c>
    </row>
    <row r="291" spans="13:13" x14ac:dyDescent="0.3">
      <c r="M291" s="2">
        <v>-6.0557037164186756E-2</v>
      </c>
    </row>
    <row r="292" spans="13:13" x14ac:dyDescent="0.3">
      <c r="M292" s="2">
        <v>-6.1681242102254875E-2</v>
      </c>
    </row>
    <row r="293" spans="13:13" x14ac:dyDescent="0.3">
      <c r="M293" s="2">
        <v>-6.0062433309592683E-2</v>
      </c>
    </row>
    <row r="294" spans="13:13" x14ac:dyDescent="0.3">
      <c r="M294" s="2">
        <v>-7.1286053781942776E-2</v>
      </c>
    </row>
    <row r="295" spans="13:13" x14ac:dyDescent="0.3">
      <c r="M295" s="2">
        <v>-5.1344390856390323E-2</v>
      </c>
    </row>
    <row r="296" spans="13:13" x14ac:dyDescent="0.3">
      <c r="M296" s="2">
        <v>-5.3101484099357159E-2</v>
      </c>
    </row>
    <row r="297" spans="13:13" x14ac:dyDescent="0.3">
      <c r="M297" s="2">
        <v>-4.9844358820067054E-2</v>
      </c>
    </row>
    <row r="298" spans="13:13" x14ac:dyDescent="0.3">
      <c r="M298" s="2">
        <v>-6.4342987818215611E-2</v>
      </c>
    </row>
    <row r="299" spans="13:13" x14ac:dyDescent="0.3">
      <c r="M299" s="2">
        <v>-5.639251759913138E-2</v>
      </c>
    </row>
    <row r="300" spans="13:13" x14ac:dyDescent="0.3">
      <c r="M300" s="2">
        <v>-5.3396672968224222E-2</v>
      </c>
    </row>
    <row r="301" spans="13:13" x14ac:dyDescent="0.3">
      <c r="M301" s="2">
        <v>-5.0838712239263534E-2</v>
      </c>
    </row>
    <row r="302" spans="13:13" x14ac:dyDescent="0.3">
      <c r="M302" s="2">
        <v>-5.0504001395212141E-2</v>
      </c>
    </row>
    <row r="303" spans="13:13" x14ac:dyDescent="0.3">
      <c r="M303" s="2">
        <v>-5.0068223381620869E-2</v>
      </c>
    </row>
    <row r="304" spans="13:13" x14ac:dyDescent="0.3">
      <c r="M304" s="2">
        <v>-4.8408626961211912E-2</v>
      </c>
    </row>
    <row r="305" spans="13:13" x14ac:dyDescent="0.3">
      <c r="M305" s="2">
        <v>-4.5962908669511034E-2</v>
      </c>
    </row>
    <row r="306" spans="13:13" x14ac:dyDescent="0.3">
      <c r="M306" s="2">
        <v>-4.5791815610992458E-2</v>
      </c>
    </row>
    <row r="307" spans="13:13" x14ac:dyDescent="0.3">
      <c r="M307" s="2">
        <v>-4.8709712197192119E-2</v>
      </c>
    </row>
    <row r="308" spans="13:13" x14ac:dyDescent="0.3">
      <c r="M308" s="2">
        <v>-6.1113594760875703E-2</v>
      </c>
    </row>
    <row r="309" spans="13:13" x14ac:dyDescent="0.3">
      <c r="M309" s="2">
        <v>-6.2657079098309906E-2</v>
      </c>
    </row>
    <row r="310" spans="13:13" x14ac:dyDescent="0.3">
      <c r="M310" s="2">
        <v>-6.2241907203569376E-2</v>
      </c>
    </row>
    <row r="311" spans="13:13" x14ac:dyDescent="0.3">
      <c r="M311" s="2">
        <v>-4.3832879763366354E-2</v>
      </c>
    </row>
    <row r="312" spans="13:13" x14ac:dyDescent="0.3">
      <c r="M312" s="2">
        <v>-4.8718859925037945E-2</v>
      </c>
    </row>
    <row r="313" spans="13:13" x14ac:dyDescent="0.3">
      <c r="M313" s="2">
        <v>-5.6565219692280497E-2</v>
      </c>
    </row>
    <row r="314" spans="13:13" x14ac:dyDescent="0.3">
      <c r="M314" s="2">
        <v>-5.745982859892998E-2</v>
      </c>
    </row>
    <row r="315" spans="13:13" x14ac:dyDescent="0.3">
      <c r="M315" s="2">
        <v>-6.352530026560875E-2</v>
      </c>
    </row>
    <row r="316" spans="13:13" x14ac:dyDescent="0.3">
      <c r="M316" s="2">
        <v>-6.2497178274042525E-2</v>
      </c>
    </row>
    <row r="317" spans="13:13" x14ac:dyDescent="0.3">
      <c r="M317" s="2">
        <v>-5.5701020983645662E-2</v>
      </c>
    </row>
    <row r="318" spans="13:13" x14ac:dyDescent="0.3">
      <c r="M318" s="2">
        <v>-5.8709048085192013E-2</v>
      </c>
    </row>
    <row r="319" spans="13:13" x14ac:dyDescent="0.3">
      <c r="M319" s="2">
        <v>-5.9794273900334399E-2</v>
      </c>
    </row>
    <row r="320" spans="13:13" x14ac:dyDescent="0.3">
      <c r="M320" s="2">
        <v>-6.2700685029376257E-2</v>
      </c>
    </row>
    <row r="321" spans="13:13" x14ac:dyDescent="0.3">
      <c r="M321" s="2">
        <v>-6.5839949106422449E-2</v>
      </c>
    </row>
    <row r="322" spans="13:13" x14ac:dyDescent="0.3">
      <c r="M322" s="2">
        <v>-7.5907459796401525E-2</v>
      </c>
    </row>
    <row r="323" spans="13:13" x14ac:dyDescent="0.3">
      <c r="M323" s="2">
        <v>-7.3210732357023467E-2</v>
      </c>
    </row>
    <row r="324" spans="13:13" x14ac:dyDescent="0.3">
      <c r="M324" s="2">
        <v>-6.7921825973038349E-2</v>
      </c>
    </row>
    <row r="325" spans="13:13" x14ac:dyDescent="0.3">
      <c r="M325" s="2">
        <v>-6.2765476970925882E-2</v>
      </c>
    </row>
    <row r="326" spans="13:13" x14ac:dyDescent="0.3">
      <c r="M326" s="2">
        <v>-7.0063496611376425E-2</v>
      </c>
    </row>
    <row r="327" spans="13:13" x14ac:dyDescent="0.3">
      <c r="M327" s="2">
        <v>-6.3518072625139296E-2</v>
      </c>
    </row>
    <row r="328" spans="13:13" x14ac:dyDescent="0.3">
      <c r="M328" s="2">
        <v>-5.2960729916125777E-2</v>
      </c>
    </row>
    <row r="329" spans="13:13" x14ac:dyDescent="0.3">
      <c r="M329" s="2">
        <v>-5.8257010033646958E-2</v>
      </c>
    </row>
    <row r="330" spans="13:13" x14ac:dyDescent="0.3">
      <c r="M330" s="2">
        <v>-6.1186007860019202E-2</v>
      </c>
    </row>
    <row r="331" spans="13:13" x14ac:dyDescent="0.3">
      <c r="M331" s="2">
        <v>-6.0942414337367884E-2</v>
      </c>
    </row>
    <row r="332" spans="13:13" x14ac:dyDescent="0.3">
      <c r="M332" s="2">
        <v>-5.921650998216018E-2</v>
      </c>
    </row>
    <row r="333" spans="13:13" x14ac:dyDescent="0.3">
      <c r="M333" s="2">
        <v>-6.02115464806212E-2</v>
      </c>
    </row>
    <row r="334" spans="13:13" x14ac:dyDescent="0.3">
      <c r="M334" s="2">
        <v>-5.9027372521701142E-2</v>
      </c>
    </row>
    <row r="335" spans="13:13" x14ac:dyDescent="0.3">
      <c r="M335" s="2">
        <v>-6.1757368792630864E-2</v>
      </c>
    </row>
    <row r="336" spans="13:13" x14ac:dyDescent="0.3">
      <c r="M336" s="2">
        <v>-4.5484272128960147E-2</v>
      </c>
    </row>
    <row r="337" spans="13:13" x14ac:dyDescent="0.3">
      <c r="M337" s="2">
        <v>-5.6872238260335314E-2</v>
      </c>
    </row>
    <row r="338" spans="13:13" x14ac:dyDescent="0.3">
      <c r="M338" s="2">
        <v>-5.7314833017125706E-2</v>
      </c>
    </row>
    <row r="339" spans="13:13" x14ac:dyDescent="0.3">
      <c r="M339" s="2">
        <v>-5.3151043228503954E-2</v>
      </c>
    </row>
    <row r="340" spans="13:13" x14ac:dyDescent="0.3">
      <c r="M340" s="2">
        <v>-5.417827907710402E-2</v>
      </c>
    </row>
    <row r="341" spans="13:13" x14ac:dyDescent="0.3">
      <c r="M341" s="2">
        <v>-5.2277043778099067E-2</v>
      </c>
    </row>
    <row r="342" spans="13:13" x14ac:dyDescent="0.3">
      <c r="M342" s="2">
        <v>-6.1544315979679111E-2</v>
      </c>
    </row>
    <row r="343" spans="13:13" x14ac:dyDescent="0.3">
      <c r="M343" s="2">
        <v>-5.6135673509409997E-2</v>
      </c>
    </row>
    <row r="344" spans="13:13" x14ac:dyDescent="0.3">
      <c r="M344" s="2">
        <v>-4.947875061698212E-2</v>
      </c>
    </row>
    <row r="345" spans="13:13" x14ac:dyDescent="0.3">
      <c r="M345" s="2">
        <v>-4.882779654961332E-2</v>
      </c>
    </row>
    <row r="346" spans="13:13" x14ac:dyDescent="0.3">
      <c r="M346" s="2">
        <v>-5.2603798464166455E-2</v>
      </c>
    </row>
    <row r="347" spans="13:13" x14ac:dyDescent="0.3">
      <c r="M347" s="2">
        <v>-5.956806249830874E-2</v>
      </c>
    </row>
    <row r="348" spans="13:13" x14ac:dyDescent="0.3">
      <c r="M348" s="2">
        <v>-6.6610465293222759E-2</v>
      </c>
    </row>
    <row r="349" spans="13:13" x14ac:dyDescent="0.3">
      <c r="M349" s="2">
        <v>-6.6091967458976678E-2</v>
      </c>
    </row>
    <row r="350" spans="13:13" x14ac:dyDescent="0.3">
      <c r="M350" s="2">
        <v>-6.4540672048199785E-2</v>
      </c>
    </row>
    <row r="351" spans="13:13" x14ac:dyDescent="0.3">
      <c r="M351" s="2">
        <v>-5.6612117680989019E-2</v>
      </c>
    </row>
    <row r="352" spans="13:13" x14ac:dyDescent="0.3">
      <c r="M352" s="2">
        <v>-5.4991442625643434E-2</v>
      </c>
    </row>
    <row r="353" spans="13:13" x14ac:dyDescent="0.3">
      <c r="M353" s="2">
        <v>-5.0286671266263822E-2</v>
      </c>
    </row>
    <row r="354" spans="13:13" x14ac:dyDescent="0.3">
      <c r="M354" s="2">
        <v>-4.999346152203072E-2</v>
      </c>
    </row>
    <row r="355" spans="13:13" x14ac:dyDescent="0.3">
      <c r="M355" s="2">
        <v>-4.9313738538617327E-2</v>
      </c>
    </row>
    <row r="356" spans="13:13" x14ac:dyDescent="0.3">
      <c r="M356" s="2">
        <v>-4.8923076734143818E-2</v>
      </c>
    </row>
    <row r="357" spans="13:13" x14ac:dyDescent="0.3">
      <c r="M357" s="2">
        <v>-4.2394566498074208E-2</v>
      </c>
    </row>
    <row r="358" spans="13:13" x14ac:dyDescent="0.3">
      <c r="M358" s="2">
        <v>-4.2676857968792441E-2</v>
      </c>
    </row>
    <row r="359" spans="13:13" x14ac:dyDescent="0.3">
      <c r="M359" s="2">
        <v>-6.1792978043136833E-2</v>
      </c>
    </row>
    <row r="360" spans="13:13" x14ac:dyDescent="0.3">
      <c r="M360" s="2">
        <v>-6.9408528000751243E-2</v>
      </c>
    </row>
    <row r="361" spans="13:13" x14ac:dyDescent="0.3">
      <c r="M361" s="2">
        <v>-7.1011878605696591E-2</v>
      </c>
    </row>
    <row r="362" spans="13:13" x14ac:dyDescent="0.3">
      <c r="M362" s="2">
        <v>-6.9680688604539034E-2</v>
      </c>
    </row>
    <row r="363" spans="13:13" x14ac:dyDescent="0.3">
      <c r="M363" s="2">
        <v>-7.9890023973445468E-2</v>
      </c>
    </row>
    <row r="364" spans="13:13" x14ac:dyDescent="0.3">
      <c r="M364" s="2">
        <v>-8.8457187897241218E-2</v>
      </c>
    </row>
    <row r="365" spans="13:13" x14ac:dyDescent="0.3">
      <c r="M365" s="2">
        <v>-8.7936845284822748E-2</v>
      </c>
    </row>
    <row r="366" spans="13:13" x14ac:dyDescent="0.3">
      <c r="M366" s="2">
        <v>-8.8760732633908657E-2</v>
      </c>
    </row>
    <row r="367" spans="13:13" x14ac:dyDescent="0.3">
      <c r="M367" s="2">
        <v>-9.2661677154850158E-2</v>
      </c>
    </row>
    <row r="368" spans="13:13" x14ac:dyDescent="0.3">
      <c r="M368" s="2">
        <v>-9.675692440065628E-2</v>
      </c>
    </row>
    <row r="369" spans="13:13" x14ac:dyDescent="0.3">
      <c r="M369" s="2">
        <v>-9.8210154452663206E-2</v>
      </c>
    </row>
    <row r="370" spans="13:13" x14ac:dyDescent="0.3">
      <c r="M370" s="2">
        <v>-9.558159374868179E-2</v>
      </c>
    </row>
    <row r="371" spans="13:13" x14ac:dyDescent="0.3">
      <c r="M371" s="2">
        <v>-9.921952946724126E-2</v>
      </c>
    </row>
    <row r="372" spans="13:13" x14ac:dyDescent="0.3">
      <c r="M372" s="2">
        <v>-0.10302429769887714</v>
      </c>
    </row>
    <row r="373" spans="13:13" x14ac:dyDescent="0.3">
      <c r="M373" s="2">
        <v>-9.9173204718863942E-2</v>
      </c>
    </row>
    <row r="374" spans="13:13" x14ac:dyDescent="0.3">
      <c r="M374" s="2">
        <v>-0.10397543976436316</v>
      </c>
    </row>
    <row r="375" spans="13:13" x14ac:dyDescent="0.3">
      <c r="M375" s="2">
        <v>-0.1031592164590875</v>
      </c>
    </row>
    <row r="376" spans="13:13" x14ac:dyDescent="0.3">
      <c r="M376" s="2">
        <v>-8.6830907287620038E-2</v>
      </c>
    </row>
    <row r="377" spans="13:13" x14ac:dyDescent="0.3">
      <c r="M377" s="2">
        <v>-9.6821038368839804E-2</v>
      </c>
    </row>
    <row r="378" spans="13:13" x14ac:dyDescent="0.3">
      <c r="M378" s="2">
        <v>-8.9533748246936273E-2</v>
      </c>
    </row>
    <row r="379" spans="13:13" x14ac:dyDescent="0.3">
      <c r="M379" s="2">
        <v>-8.1396934753878741E-2</v>
      </c>
    </row>
    <row r="380" spans="13:13" x14ac:dyDescent="0.3">
      <c r="M380" s="2">
        <v>-7.4790284309563651E-2</v>
      </c>
    </row>
    <row r="381" spans="13:13" x14ac:dyDescent="0.3">
      <c r="M381" s="2">
        <v>-7.7800348933024371E-2</v>
      </c>
    </row>
    <row r="382" spans="13:13" x14ac:dyDescent="0.3">
      <c r="M382" s="2">
        <v>-7.8826631336424396E-2</v>
      </c>
    </row>
    <row r="383" spans="13:13" x14ac:dyDescent="0.3">
      <c r="M383" s="2">
        <v>-8.567875671920093E-2</v>
      </c>
    </row>
    <row r="384" spans="13:13" x14ac:dyDescent="0.3">
      <c r="M384" s="2">
        <v>-8.7629432114824851E-2</v>
      </c>
    </row>
    <row r="385" spans="13:13" x14ac:dyDescent="0.3">
      <c r="M385" s="2">
        <v>-9.874859601705463E-2</v>
      </c>
    </row>
    <row r="386" spans="13:13" x14ac:dyDescent="0.3">
      <c r="M386" s="2">
        <v>-9.6505778657616281E-2</v>
      </c>
    </row>
    <row r="387" spans="13:13" x14ac:dyDescent="0.3">
      <c r="M387" s="2">
        <v>-9.1818756290781053E-2</v>
      </c>
    </row>
    <row r="388" spans="13:13" x14ac:dyDescent="0.3">
      <c r="M388" s="2">
        <v>-9.1407331322782143E-2</v>
      </c>
    </row>
    <row r="389" spans="13:13" x14ac:dyDescent="0.3">
      <c r="M389" s="2">
        <v>-8.8724514795828185E-2</v>
      </c>
    </row>
    <row r="390" spans="13:13" x14ac:dyDescent="0.3">
      <c r="M390" s="2">
        <v>-9.1036700200005954E-2</v>
      </c>
    </row>
    <row r="391" spans="13:13" x14ac:dyDescent="0.3">
      <c r="M391" s="2">
        <v>-9.2354185717300558E-2</v>
      </c>
    </row>
    <row r="392" spans="13:13" x14ac:dyDescent="0.3">
      <c r="M392" s="2">
        <v>-9.0686184253097712E-2</v>
      </c>
    </row>
    <row r="393" spans="13:13" x14ac:dyDescent="0.3">
      <c r="M393" s="2">
        <v>-8.6224799357821777E-2</v>
      </c>
    </row>
    <row r="394" spans="13:13" x14ac:dyDescent="0.3">
      <c r="M394" s="2">
        <v>-7.7281437141784828E-2</v>
      </c>
    </row>
    <row r="395" spans="13:13" x14ac:dyDescent="0.3">
      <c r="M395" s="2">
        <v>-8.4282540945752174E-2</v>
      </c>
    </row>
    <row r="396" spans="13:13" x14ac:dyDescent="0.3">
      <c r="M396" s="2">
        <v>-8.7643923133767968E-2</v>
      </c>
    </row>
    <row r="397" spans="13:13" x14ac:dyDescent="0.3">
      <c r="M397" s="2">
        <v>-8.7922345362575954E-2</v>
      </c>
    </row>
    <row r="398" spans="13:13" x14ac:dyDescent="0.3">
      <c r="M398" s="2">
        <v>-9.7467876401592018E-2</v>
      </c>
    </row>
    <row r="399" spans="13:13" x14ac:dyDescent="0.3">
      <c r="M399" s="2">
        <v>-0.10034850187181847</v>
      </c>
    </row>
    <row r="400" spans="13:13" x14ac:dyDescent="0.3">
      <c r="M400" s="2">
        <v>-9.4029598632704242E-2</v>
      </c>
    </row>
    <row r="401" spans="13:13" x14ac:dyDescent="0.3">
      <c r="M401" s="2">
        <v>-8.5838234989599582E-2</v>
      </c>
    </row>
    <row r="402" spans="13:13" x14ac:dyDescent="0.3">
      <c r="M402" s="2">
        <v>-7.9704727174587084E-2</v>
      </c>
    </row>
    <row r="403" spans="13:13" x14ac:dyDescent="0.3">
      <c r="M403" s="2">
        <v>-7.8456827968851423E-2</v>
      </c>
    </row>
    <row r="404" spans="13:13" x14ac:dyDescent="0.3">
      <c r="M404" s="2">
        <v>-6.4885538783408622E-2</v>
      </c>
    </row>
    <row r="405" spans="13:13" x14ac:dyDescent="0.3">
      <c r="M405" s="2">
        <v>-6.0465122374026126E-2</v>
      </c>
    </row>
    <row r="406" spans="13:13" x14ac:dyDescent="0.3">
      <c r="M406" s="2">
        <v>-6.0145568336692538E-2</v>
      </c>
    </row>
    <row r="407" spans="13:13" x14ac:dyDescent="0.3">
      <c r="M407" s="2">
        <v>-6.0167609937473901E-2</v>
      </c>
    </row>
    <row r="408" spans="13:13" x14ac:dyDescent="0.3">
      <c r="M408" s="2">
        <v>-6.1407653320289961E-2</v>
      </c>
    </row>
    <row r="409" spans="13:13" x14ac:dyDescent="0.3">
      <c r="M409" s="2">
        <v>-5.7569770782224285E-2</v>
      </c>
    </row>
    <row r="410" spans="13:13" x14ac:dyDescent="0.3">
      <c r="M410" s="2">
        <v>-5.2301696582313442E-2</v>
      </c>
    </row>
    <row r="411" spans="13:13" x14ac:dyDescent="0.3">
      <c r="M411" s="2">
        <v>-5.9340103116620795E-2</v>
      </c>
    </row>
    <row r="412" spans="13:13" x14ac:dyDescent="0.3">
      <c r="M412" s="2">
        <v>-5.3293053870487099E-2</v>
      </c>
    </row>
    <row r="413" spans="13:13" x14ac:dyDescent="0.3">
      <c r="M413" s="2">
        <v>-5.4955950621275375E-2</v>
      </c>
    </row>
    <row r="414" spans="13:13" x14ac:dyDescent="0.3">
      <c r="M414" s="2">
        <v>-5.403637729041047E-2</v>
      </c>
    </row>
    <row r="415" spans="13:13" x14ac:dyDescent="0.3">
      <c r="M415" s="2">
        <v>-4.4310672768151045E-2</v>
      </c>
    </row>
    <row r="416" spans="13:13" x14ac:dyDescent="0.3">
      <c r="M416" s="2">
        <v>-3.4097944263603873E-2</v>
      </c>
    </row>
    <row r="417" spans="13:13" x14ac:dyDescent="0.3">
      <c r="M417" s="2">
        <v>-2.5294947836208642E-2</v>
      </c>
    </row>
    <row r="418" spans="13:13" x14ac:dyDescent="0.3">
      <c r="M418" s="2">
        <v>-3.0596459905342967E-2</v>
      </c>
    </row>
    <row r="419" spans="13:13" x14ac:dyDescent="0.3">
      <c r="M419" s="2">
        <v>-3.0261642986759825E-2</v>
      </c>
    </row>
    <row r="420" spans="13:13" x14ac:dyDescent="0.3">
      <c r="M420" s="2">
        <v>-3.4349399847610207E-2</v>
      </c>
    </row>
    <row r="421" spans="13:13" x14ac:dyDescent="0.3">
      <c r="M421" s="2">
        <v>-4.03701517256412E-2</v>
      </c>
    </row>
    <row r="422" spans="13:13" x14ac:dyDescent="0.3">
      <c r="M422" s="2">
        <v>-3.5509379469379328E-2</v>
      </c>
    </row>
    <row r="423" spans="13:13" x14ac:dyDescent="0.3">
      <c r="M423" s="2">
        <v>-2.729007257215256E-2</v>
      </c>
    </row>
    <row r="424" spans="13:13" x14ac:dyDescent="0.3">
      <c r="M424" s="2">
        <v>-2.4089057163030413E-2</v>
      </c>
    </row>
    <row r="425" spans="13:13" x14ac:dyDescent="0.3">
      <c r="M425" s="2">
        <v>-2.5926743904977088E-2</v>
      </c>
    </row>
    <row r="426" spans="13:13" x14ac:dyDescent="0.3">
      <c r="M426" s="2">
        <v>-2.8100624969893514E-2</v>
      </c>
    </row>
    <row r="427" spans="13:13" x14ac:dyDescent="0.3">
      <c r="M427" s="2">
        <v>-2.9447547027995111E-2</v>
      </c>
    </row>
    <row r="428" spans="13:13" x14ac:dyDescent="0.3">
      <c r="M428" s="2">
        <v>-3.8039319778487179E-2</v>
      </c>
    </row>
    <row r="429" spans="13:13" x14ac:dyDescent="0.3">
      <c r="M429" s="2">
        <v>-3.2751245862681889E-2</v>
      </c>
    </row>
    <row r="430" spans="13:13" x14ac:dyDescent="0.3">
      <c r="M430" s="2">
        <v>-3.5254661784796373E-2</v>
      </c>
    </row>
    <row r="431" spans="13:13" x14ac:dyDescent="0.3">
      <c r="M431" s="2">
        <v>-3.5985745068969156E-2</v>
      </c>
    </row>
    <row r="432" spans="13:13" x14ac:dyDescent="0.3">
      <c r="M432" s="2">
        <v>-4.3810453223857071E-2</v>
      </c>
    </row>
    <row r="433" spans="13:13" x14ac:dyDescent="0.3">
      <c r="M433" s="2">
        <v>-4.9808028380004095E-2</v>
      </c>
    </row>
    <row r="434" spans="13:13" x14ac:dyDescent="0.3">
      <c r="M434" s="2">
        <v>-5.2948335382374909E-2</v>
      </c>
    </row>
    <row r="435" spans="13:13" x14ac:dyDescent="0.3">
      <c r="M435" s="2">
        <v>-5.5760869940123921E-2</v>
      </c>
    </row>
    <row r="436" spans="13:13" x14ac:dyDescent="0.3">
      <c r="M436" s="2">
        <v>-5.2580450625839076E-2</v>
      </c>
    </row>
    <row r="437" spans="13:13" x14ac:dyDescent="0.3">
      <c r="M437" s="2">
        <v>-6.6137879300198307E-2</v>
      </c>
    </row>
    <row r="438" spans="13:13" x14ac:dyDescent="0.3">
      <c r="M438" s="2">
        <v>-6.4338718967330816E-2</v>
      </c>
    </row>
    <row r="439" spans="13:13" x14ac:dyDescent="0.3">
      <c r="M439" s="2">
        <v>-5.9985296379992122E-2</v>
      </c>
    </row>
    <row r="440" spans="13:13" x14ac:dyDescent="0.3">
      <c r="M440" s="2">
        <v>-5.9605437336558875E-2</v>
      </c>
    </row>
    <row r="441" spans="13:13" x14ac:dyDescent="0.3">
      <c r="M441" s="2">
        <v>-5.0830021995079862E-2</v>
      </c>
    </row>
    <row r="442" spans="13:13" x14ac:dyDescent="0.3">
      <c r="M442" s="2">
        <v>-5.5630355094072326E-2</v>
      </c>
    </row>
    <row r="443" spans="13:13" x14ac:dyDescent="0.3">
      <c r="M443" s="2">
        <v>-5.4879235825015332E-2</v>
      </c>
    </row>
    <row r="444" spans="13:13" x14ac:dyDescent="0.3">
      <c r="M444" s="2">
        <v>-4.865384422203195E-2</v>
      </c>
    </row>
    <row r="445" spans="13:13" x14ac:dyDescent="0.3">
      <c r="M445" s="2">
        <v>-4.6294803902302152E-2</v>
      </c>
    </row>
    <row r="446" spans="13:13" x14ac:dyDescent="0.3">
      <c r="M446" s="2">
        <v>-4.0611752554217617E-2</v>
      </c>
    </row>
    <row r="447" spans="13:13" x14ac:dyDescent="0.3">
      <c r="M447" s="2">
        <v>-3.8930461554831271E-2</v>
      </c>
    </row>
    <row r="448" spans="13:13" x14ac:dyDescent="0.3">
      <c r="M448" s="2">
        <v>-4.9032786911046088E-2</v>
      </c>
    </row>
    <row r="449" spans="13:13" x14ac:dyDescent="0.3">
      <c r="M449" s="2">
        <v>-3.7580476742352042E-2</v>
      </c>
    </row>
    <row r="450" spans="13:13" x14ac:dyDescent="0.3">
      <c r="M450" s="2">
        <v>-3.2062408767332948E-2</v>
      </c>
    </row>
    <row r="451" spans="13:13" x14ac:dyDescent="0.3">
      <c r="M451" s="2">
        <v>-2.9065180638034132E-2</v>
      </c>
    </row>
    <row r="452" spans="13:13" x14ac:dyDescent="0.3">
      <c r="M452" s="2">
        <v>-2.6520554455324408E-2</v>
      </c>
    </row>
    <row r="453" spans="13:13" x14ac:dyDescent="0.3">
      <c r="M453" s="2">
        <v>-2.8623911223223015E-2</v>
      </c>
    </row>
    <row r="454" spans="13:13" x14ac:dyDescent="0.3">
      <c r="M454" s="2">
        <v>-3.3200016760192255E-2</v>
      </c>
    </row>
    <row r="455" spans="13:13" x14ac:dyDescent="0.3">
      <c r="M455" s="2">
        <v>-4.4310529410416639E-2</v>
      </c>
    </row>
    <row r="456" spans="13:13" x14ac:dyDescent="0.3">
      <c r="M456" s="2">
        <v>-4.7744380707745039E-2</v>
      </c>
    </row>
    <row r="457" spans="13:13" x14ac:dyDescent="0.3">
      <c r="M457" s="2">
        <v>-4.8414774109774218E-2</v>
      </c>
    </row>
    <row r="458" spans="13:13" x14ac:dyDescent="0.3">
      <c r="M458" s="2">
        <v>-5.3822283524239588E-2</v>
      </c>
    </row>
    <row r="459" spans="13:13" x14ac:dyDescent="0.3">
      <c r="M459" s="2">
        <v>-5.9157898964527195E-2</v>
      </c>
    </row>
    <row r="460" spans="13:13" x14ac:dyDescent="0.3">
      <c r="M460" s="2">
        <v>-6.35776252207821E-2</v>
      </c>
    </row>
    <row r="461" spans="13:13" x14ac:dyDescent="0.3">
      <c r="M461" s="2">
        <v>-6.8093572513193312E-2</v>
      </c>
    </row>
    <row r="462" spans="13:13" x14ac:dyDescent="0.3">
      <c r="M462" s="2">
        <v>-5.9111950203684954E-2</v>
      </c>
    </row>
    <row r="463" spans="13:13" x14ac:dyDescent="0.3">
      <c r="M463" s="2">
        <v>-6.172260948346639E-2</v>
      </c>
    </row>
    <row r="464" spans="13:13" x14ac:dyDescent="0.3">
      <c r="M464" s="2">
        <v>-5.7343304846059186E-2</v>
      </c>
    </row>
    <row r="465" spans="13:13" x14ac:dyDescent="0.3">
      <c r="M465" s="2">
        <v>-5.9146276724884844E-2</v>
      </c>
    </row>
    <row r="466" spans="13:13" x14ac:dyDescent="0.3">
      <c r="M466" s="2">
        <v>-5.9402743523579715E-2</v>
      </c>
    </row>
    <row r="467" spans="13:13" x14ac:dyDescent="0.3">
      <c r="M467" s="2">
        <v>-5.7402905828439717E-2</v>
      </c>
    </row>
    <row r="468" spans="13:13" x14ac:dyDescent="0.3">
      <c r="M468" s="2">
        <v>-4.9833591130250286E-2</v>
      </c>
    </row>
    <row r="469" spans="13:13" x14ac:dyDescent="0.3">
      <c r="M469" s="2">
        <v>-4.5794199077605485E-2</v>
      </c>
    </row>
    <row r="470" spans="13:13" x14ac:dyDescent="0.3">
      <c r="M470" s="2">
        <v>-4.592605087496545E-2</v>
      </c>
    </row>
    <row r="471" spans="13:13" x14ac:dyDescent="0.3">
      <c r="M471" s="2">
        <v>-4.0231209976634229E-2</v>
      </c>
    </row>
    <row r="472" spans="13:13" x14ac:dyDescent="0.3">
      <c r="M472" s="2">
        <v>-4.8789503934696686E-2</v>
      </c>
    </row>
    <row r="473" spans="13:13" x14ac:dyDescent="0.3">
      <c r="M473" s="2">
        <v>-5.923312604811589E-2</v>
      </c>
    </row>
    <row r="474" spans="13:13" x14ac:dyDescent="0.3">
      <c r="M474" s="2">
        <v>-5.4828852060194784E-2</v>
      </c>
    </row>
    <row r="475" spans="13:13" x14ac:dyDescent="0.3">
      <c r="M475" s="2">
        <v>-6.1801402671941869E-2</v>
      </c>
    </row>
    <row r="476" spans="13:13" x14ac:dyDescent="0.3">
      <c r="M476" s="2">
        <v>-6.3180246080743269E-2</v>
      </c>
    </row>
    <row r="477" spans="13:13" x14ac:dyDescent="0.3">
      <c r="M477" s="2">
        <v>-7.1132449666456432E-2</v>
      </c>
    </row>
    <row r="478" spans="13:13" x14ac:dyDescent="0.3">
      <c r="M478" s="2">
        <v>-7.4751072549608569E-2</v>
      </c>
    </row>
    <row r="479" spans="13:13" x14ac:dyDescent="0.3">
      <c r="M479" s="2">
        <v>-6.2928491352548244E-2</v>
      </c>
    </row>
    <row r="480" spans="13:13" x14ac:dyDescent="0.3">
      <c r="M480" s="2">
        <v>-7.1605126532167218E-2</v>
      </c>
    </row>
    <row r="481" spans="13:13" x14ac:dyDescent="0.3">
      <c r="M481" s="2">
        <v>-6.8797697060724861E-2</v>
      </c>
    </row>
    <row r="482" spans="13:13" x14ac:dyDescent="0.3">
      <c r="M482" s="2">
        <v>-6.9944904921673906E-2</v>
      </c>
    </row>
    <row r="483" spans="13:13" x14ac:dyDescent="0.3">
      <c r="M483" s="2">
        <v>-7.1008143824630846E-2</v>
      </c>
    </row>
    <row r="484" spans="13:13" x14ac:dyDescent="0.3">
      <c r="M484" s="2">
        <v>-7.815759353710619E-2</v>
      </c>
    </row>
    <row r="485" spans="13:13" x14ac:dyDescent="0.3">
      <c r="M485" s="2">
        <v>-6.7953248003918165E-2</v>
      </c>
    </row>
    <row r="486" spans="13:13" x14ac:dyDescent="0.3">
      <c r="M486" s="2">
        <v>-7.0301242969657576E-2</v>
      </c>
    </row>
    <row r="487" spans="13:13" x14ac:dyDescent="0.3">
      <c r="M487" s="2">
        <v>-6.6135164215250827E-2</v>
      </c>
    </row>
    <row r="488" spans="13:13" x14ac:dyDescent="0.3">
      <c r="M488" s="2">
        <v>-5.4079581181156647E-2</v>
      </c>
    </row>
    <row r="489" spans="13:13" x14ac:dyDescent="0.3">
      <c r="M489" s="2">
        <v>-3.7017424543052922E-2</v>
      </c>
    </row>
    <row r="490" spans="13:13" x14ac:dyDescent="0.3">
      <c r="M490" s="2">
        <v>-3.8149725620771111E-2</v>
      </c>
    </row>
    <row r="491" spans="13:13" x14ac:dyDescent="0.3">
      <c r="M491" s="2">
        <v>-4.1408204769154161E-2</v>
      </c>
    </row>
    <row r="492" spans="13:13" x14ac:dyDescent="0.3">
      <c r="M492" s="2">
        <v>-4.6841212360835272E-2</v>
      </c>
    </row>
    <row r="493" spans="13:13" x14ac:dyDescent="0.3">
      <c r="M493" s="2">
        <v>-5.1799086659230428E-2</v>
      </c>
    </row>
    <row r="494" spans="13:13" x14ac:dyDescent="0.3">
      <c r="M494" s="2">
        <v>-4.1765014111419425E-2</v>
      </c>
    </row>
    <row r="495" spans="13:13" x14ac:dyDescent="0.3">
      <c r="M495" s="2">
        <v>-4.7074758843289696E-2</v>
      </c>
    </row>
    <row r="496" spans="13:13" x14ac:dyDescent="0.3">
      <c r="M496" s="2">
        <v>-3.714601163300027E-2</v>
      </c>
    </row>
    <row r="497" spans="13:13" x14ac:dyDescent="0.3">
      <c r="M497" s="2">
        <v>-3.4869527308997068E-2</v>
      </c>
    </row>
    <row r="498" spans="13:13" x14ac:dyDescent="0.3">
      <c r="M498" s="2">
        <v>-2.904886586836886E-2</v>
      </c>
    </row>
    <row r="499" spans="13:13" x14ac:dyDescent="0.3">
      <c r="M499" s="2">
        <v>-3.2828754692144135E-2</v>
      </c>
    </row>
    <row r="500" spans="13:13" x14ac:dyDescent="0.3">
      <c r="M500" s="2">
        <v>-4.4453494929986508E-2</v>
      </c>
    </row>
    <row r="501" spans="13:13" x14ac:dyDescent="0.3">
      <c r="M501" s="2">
        <v>-3.4896654886014969E-2</v>
      </c>
    </row>
    <row r="502" spans="13:13" x14ac:dyDescent="0.3">
      <c r="M502" s="2">
        <v>-2.644590896093196E-2</v>
      </c>
    </row>
    <row r="503" spans="13:13" x14ac:dyDescent="0.3">
      <c r="M503" s="2">
        <v>-1.9371183650693888E-2</v>
      </c>
    </row>
    <row r="504" spans="13:13" x14ac:dyDescent="0.3">
      <c r="M504" s="2">
        <v>-2.9961169325943549E-2</v>
      </c>
    </row>
    <row r="505" spans="13:13" x14ac:dyDescent="0.3">
      <c r="M505" s="2">
        <v>-2.6533327225555799E-2</v>
      </c>
    </row>
    <row r="506" spans="13:13" x14ac:dyDescent="0.3">
      <c r="M506" s="2">
        <v>-3.2622590049935736E-2</v>
      </c>
    </row>
    <row r="507" spans="13:13" x14ac:dyDescent="0.3">
      <c r="M507" s="2">
        <v>-3.4037142389143356E-2</v>
      </c>
    </row>
    <row r="508" spans="13:13" x14ac:dyDescent="0.3">
      <c r="M508" s="2">
        <v>-3.8078399500007826E-2</v>
      </c>
    </row>
    <row r="509" spans="13:13" x14ac:dyDescent="0.3">
      <c r="M509" s="2">
        <v>-3.4271294671174374E-2</v>
      </c>
    </row>
    <row r="510" spans="13:13" x14ac:dyDescent="0.3">
      <c r="M510" s="2">
        <v>-3.5604151068707825E-2</v>
      </c>
    </row>
    <row r="511" spans="13:13" x14ac:dyDescent="0.3">
      <c r="M511" s="2">
        <v>-2.5683226675781119E-2</v>
      </c>
    </row>
    <row r="512" spans="13:13" x14ac:dyDescent="0.3">
      <c r="M512" s="2">
        <v>-3.2017213101992639E-2</v>
      </c>
    </row>
    <row r="513" spans="13:13" x14ac:dyDescent="0.3">
      <c r="M513" s="2">
        <v>-2.2630331539870849E-2</v>
      </c>
    </row>
    <row r="514" spans="13:13" x14ac:dyDescent="0.3">
      <c r="M514" s="2">
        <v>-1.7788738593331375E-2</v>
      </c>
    </row>
    <row r="515" spans="13:13" x14ac:dyDescent="0.3">
      <c r="M515" s="2">
        <v>-2.2327366054080498E-2</v>
      </c>
    </row>
    <row r="516" spans="13:13" x14ac:dyDescent="0.3">
      <c r="M516" s="2">
        <v>-3.2437104252437565E-2</v>
      </c>
    </row>
    <row r="517" spans="13:13" x14ac:dyDescent="0.3">
      <c r="M517" s="2">
        <v>-4.244722620291503E-2</v>
      </c>
    </row>
    <row r="518" spans="13:13" x14ac:dyDescent="0.3">
      <c r="M518" s="2">
        <v>-4.5035903021816578E-2</v>
      </c>
    </row>
    <row r="519" spans="13:13" x14ac:dyDescent="0.3">
      <c r="M519" s="2">
        <v>-4.2729914423749585E-2</v>
      </c>
    </row>
    <row r="520" spans="13:13" x14ac:dyDescent="0.3">
      <c r="M520" s="2">
        <v>-4.3815737778158045E-2</v>
      </c>
    </row>
    <row r="521" spans="13:13" x14ac:dyDescent="0.3">
      <c r="M521" s="2">
        <v>-4.653196029897811E-2</v>
      </c>
    </row>
    <row r="522" spans="13:13" x14ac:dyDescent="0.3">
      <c r="M522" s="2">
        <v>-5.6667076567587606E-2</v>
      </c>
    </row>
    <row r="523" spans="13:13" x14ac:dyDescent="0.3">
      <c r="M523" s="2">
        <v>-5.5777364446464667E-2</v>
      </c>
    </row>
    <row r="524" spans="13:13" x14ac:dyDescent="0.3">
      <c r="M524" s="2">
        <v>-5.2558529834645575E-2</v>
      </c>
    </row>
    <row r="525" spans="13:13" x14ac:dyDescent="0.3">
      <c r="M525" s="2">
        <v>-5.4869528313791542E-2</v>
      </c>
    </row>
    <row r="526" spans="13:13" x14ac:dyDescent="0.3">
      <c r="M526" s="2">
        <v>-6.0800391813396436E-2</v>
      </c>
    </row>
    <row r="527" spans="13:13" x14ac:dyDescent="0.3">
      <c r="M527" s="2">
        <v>-7.7157415945894203E-2</v>
      </c>
    </row>
    <row r="528" spans="13:13" x14ac:dyDescent="0.3">
      <c r="M528" s="2">
        <v>-6.5397719768383808E-2</v>
      </c>
    </row>
    <row r="529" spans="13:13" x14ac:dyDescent="0.3">
      <c r="M529" s="2">
        <v>-6.9725362868230154E-2</v>
      </c>
    </row>
    <row r="530" spans="13:13" x14ac:dyDescent="0.3">
      <c r="M530" s="2">
        <v>-6.1852049448828182E-2</v>
      </c>
    </row>
    <row r="531" spans="13:13" x14ac:dyDescent="0.3">
      <c r="M531" s="2">
        <v>-6.107357944403536E-2</v>
      </c>
    </row>
    <row r="532" spans="13:13" x14ac:dyDescent="0.3">
      <c r="M532" s="2">
        <v>-5.9627153171699296E-2</v>
      </c>
    </row>
    <row r="533" spans="13:13" x14ac:dyDescent="0.3">
      <c r="M533" s="2">
        <v>-5.4414135378042974E-2</v>
      </c>
    </row>
    <row r="534" spans="13:13" x14ac:dyDescent="0.3">
      <c r="M534" s="2">
        <v>-3.8316244286417118E-2</v>
      </c>
    </row>
    <row r="535" spans="13:13" x14ac:dyDescent="0.3">
      <c r="M535" s="2">
        <v>-4.4040609010139911E-2</v>
      </c>
    </row>
    <row r="536" spans="13:13" x14ac:dyDescent="0.3">
      <c r="M536" s="2">
        <v>-4.9893203412237123E-2</v>
      </c>
    </row>
    <row r="537" spans="13:13" x14ac:dyDescent="0.3">
      <c r="M537" s="2">
        <v>-6.250322574000669E-2</v>
      </c>
    </row>
    <row r="538" spans="13:13" x14ac:dyDescent="0.3">
      <c r="M538" s="2">
        <v>-6.9292720300456273E-2</v>
      </c>
    </row>
    <row r="539" spans="13:13" x14ac:dyDescent="0.3">
      <c r="M539" s="2">
        <v>-6.1322596837155081E-2</v>
      </c>
    </row>
    <row r="540" spans="13:13" x14ac:dyDescent="0.3">
      <c r="M540" s="2">
        <v>-6.8167155215041603E-2</v>
      </c>
    </row>
    <row r="541" spans="13:13" x14ac:dyDescent="0.3">
      <c r="M541" s="2">
        <v>-7.1498015784333957E-2</v>
      </c>
    </row>
    <row r="542" spans="13:13" x14ac:dyDescent="0.3">
      <c r="M542" s="2">
        <v>-6.8437720086390319E-2</v>
      </c>
    </row>
    <row r="543" spans="13:13" x14ac:dyDescent="0.3">
      <c r="M543" s="2">
        <v>-6.3291214478743113E-2</v>
      </c>
    </row>
    <row r="544" spans="13:13" x14ac:dyDescent="0.3">
      <c r="M544" s="2">
        <v>-4.8553086211684575E-2</v>
      </c>
    </row>
    <row r="545" spans="13:13" x14ac:dyDescent="0.3">
      <c r="M545" s="2">
        <v>-4.6859089169791125E-2</v>
      </c>
    </row>
    <row r="546" spans="13:13" x14ac:dyDescent="0.3">
      <c r="M546" s="2">
        <v>-5.2178809522408859E-2</v>
      </c>
    </row>
    <row r="547" spans="13:13" x14ac:dyDescent="0.3">
      <c r="M547" s="2">
        <v>-5.2452555506417385E-2</v>
      </c>
    </row>
    <row r="548" spans="13:13" x14ac:dyDescent="0.3">
      <c r="M548" s="2">
        <v>-4.6628326352463161E-2</v>
      </c>
    </row>
    <row r="549" spans="13:13" x14ac:dyDescent="0.3">
      <c r="M549" s="2">
        <v>-4.0948418467889901E-2</v>
      </c>
    </row>
    <row r="550" spans="13:13" x14ac:dyDescent="0.3">
      <c r="M550" s="2">
        <v>-3.9306195072994141E-2</v>
      </c>
    </row>
    <row r="551" spans="13:13" x14ac:dyDescent="0.3">
      <c r="M551" s="2">
        <v>-3.8219567788081957E-2</v>
      </c>
    </row>
    <row r="552" spans="13:13" x14ac:dyDescent="0.3">
      <c r="M552" s="2">
        <v>-3.2579282971469649E-2</v>
      </c>
    </row>
    <row r="553" spans="13:13" x14ac:dyDescent="0.3">
      <c r="M553" s="2">
        <v>-2.9061351248339126E-2</v>
      </c>
    </row>
    <row r="554" spans="13:13" x14ac:dyDescent="0.3">
      <c r="M554" s="2">
        <v>-2.7753758051630453E-2</v>
      </c>
    </row>
    <row r="555" spans="13:13" x14ac:dyDescent="0.3">
      <c r="M555" s="2">
        <v>-3.2145153097723582E-2</v>
      </c>
    </row>
    <row r="556" spans="13:13" x14ac:dyDescent="0.3">
      <c r="M556" s="2">
        <v>-2.8131874970098628E-2</v>
      </c>
    </row>
    <row r="557" spans="13:13" x14ac:dyDescent="0.3">
      <c r="M557" s="2">
        <v>-3.3074838341366333E-2</v>
      </c>
    </row>
    <row r="558" spans="13:13" x14ac:dyDescent="0.3">
      <c r="M558" s="2">
        <v>-4.0520877153144945E-2</v>
      </c>
    </row>
    <row r="559" spans="13:13" x14ac:dyDescent="0.3">
      <c r="M559" s="2">
        <v>-3.994196171025604E-2</v>
      </c>
    </row>
    <row r="560" spans="13:13" x14ac:dyDescent="0.3">
      <c r="M560" s="2">
        <v>-4.4189996735039386E-2</v>
      </c>
    </row>
    <row r="561" spans="13:13" x14ac:dyDescent="0.3">
      <c r="M561" s="2">
        <v>-4.6630461304371276E-2</v>
      </c>
    </row>
    <row r="562" spans="13:13" x14ac:dyDescent="0.3">
      <c r="M562" s="2">
        <v>-4.7726985552684911E-2</v>
      </c>
    </row>
    <row r="563" spans="13:13" x14ac:dyDescent="0.3">
      <c r="M563" s="2">
        <v>-4.5749709107848348E-2</v>
      </c>
    </row>
    <row r="564" spans="13:13" x14ac:dyDescent="0.3">
      <c r="M564" s="2">
        <v>-3.6655902292520789E-2</v>
      </c>
    </row>
    <row r="565" spans="13:13" x14ac:dyDescent="0.3">
      <c r="M565" s="2">
        <v>-3.5448768076286143E-2</v>
      </c>
    </row>
    <row r="566" spans="13:13" x14ac:dyDescent="0.3">
      <c r="M566" s="2">
        <v>-2.9532045800109003E-2</v>
      </c>
    </row>
    <row r="567" spans="13:13" x14ac:dyDescent="0.3">
      <c r="M567" s="2">
        <v>-2.9868400683579346E-2</v>
      </c>
    </row>
    <row r="568" spans="13:13" x14ac:dyDescent="0.3">
      <c r="M568" s="2">
        <v>-3.0897243687681493E-2</v>
      </c>
    </row>
    <row r="569" spans="13:13" x14ac:dyDescent="0.3">
      <c r="M569" s="2">
        <v>-1.6419789847809112E-2</v>
      </c>
    </row>
    <row r="570" spans="13:13" x14ac:dyDescent="0.3">
      <c r="M570" s="2">
        <v>-9.6778434377365087E-3</v>
      </c>
    </row>
    <row r="571" spans="13:13" x14ac:dyDescent="0.3">
      <c r="M571" s="2">
        <v>-7.8110772274870843E-3</v>
      </c>
    </row>
    <row r="572" spans="13:13" x14ac:dyDescent="0.3">
      <c r="M572" s="2">
        <v>-9.256407239892234E-3</v>
      </c>
    </row>
    <row r="573" spans="13:13" x14ac:dyDescent="0.3">
      <c r="M573" s="2">
        <v>-1.7234347790606626E-2</v>
      </c>
    </row>
    <row r="574" spans="13:13" x14ac:dyDescent="0.3">
      <c r="M574" s="2">
        <v>-1.6477271026298999E-2</v>
      </c>
    </row>
    <row r="575" spans="13:13" x14ac:dyDescent="0.3">
      <c r="M575" s="2">
        <v>-1.5082819435983155E-2</v>
      </c>
    </row>
    <row r="576" spans="13:13" x14ac:dyDescent="0.3">
      <c r="M576" s="2">
        <v>-2.2594101199348706E-2</v>
      </c>
    </row>
    <row r="577" spans="13:13" x14ac:dyDescent="0.3">
      <c r="M577" s="2">
        <v>-1.6945358915999832E-2</v>
      </c>
    </row>
    <row r="578" spans="13:13" x14ac:dyDescent="0.3">
      <c r="M578" s="2">
        <v>-2.0632928817669021E-2</v>
      </c>
    </row>
    <row r="579" spans="13:13" x14ac:dyDescent="0.3">
      <c r="M579" s="2">
        <v>-1.0570469420753023E-2</v>
      </c>
    </row>
    <row r="580" spans="13:13" x14ac:dyDescent="0.3">
      <c r="M580" s="2">
        <v>-1.4569982935472353E-2</v>
      </c>
    </row>
    <row r="581" spans="13:13" x14ac:dyDescent="0.3">
      <c r="M581" s="2">
        <v>-5.2328375497463749E-3</v>
      </c>
    </row>
    <row r="582" spans="13:13" x14ac:dyDescent="0.3">
      <c r="M582" s="2">
        <v>-9.0143929331728632E-3</v>
      </c>
    </row>
    <row r="583" spans="13:13" x14ac:dyDescent="0.3">
      <c r="M583" s="2">
        <v>-9.8374878386160731E-3</v>
      </c>
    </row>
    <row r="584" spans="13:13" x14ac:dyDescent="0.3">
      <c r="M584" s="2">
        <v>-1.2343490910996485E-2</v>
      </c>
    </row>
    <row r="585" spans="13:13" x14ac:dyDescent="0.3">
      <c r="M585" s="2">
        <v>-7.7104826838277222E-3</v>
      </c>
    </row>
    <row r="586" spans="13:13" x14ac:dyDescent="0.3">
      <c r="M586" s="2">
        <v>-7.0303118988139296E-3</v>
      </c>
    </row>
    <row r="587" spans="13:13" x14ac:dyDescent="0.3">
      <c r="M587" s="2">
        <v>1.4408918518760711E-3</v>
      </c>
    </row>
    <row r="588" spans="13:13" x14ac:dyDescent="0.3">
      <c r="M588" s="2">
        <v>8.9340444791301491E-3</v>
      </c>
    </row>
    <row r="589" spans="13:13" x14ac:dyDescent="0.3">
      <c r="M589" s="2">
        <v>9.6964368973917678E-3</v>
      </c>
    </row>
    <row r="590" spans="13:13" x14ac:dyDescent="0.3">
      <c r="M590" s="2">
        <v>9.1378088477641652E-3</v>
      </c>
    </row>
    <row r="591" spans="13:13" x14ac:dyDescent="0.3">
      <c r="M591" s="2">
        <v>9.1743233165475606E-3</v>
      </c>
    </row>
    <row r="592" spans="13:13" x14ac:dyDescent="0.3">
      <c r="M592" s="2">
        <v>2.0699477109288725E-2</v>
      </c>
    </row>
    <row r="593" spans="13:13" x14ac:dyDescent="0.3">
      <c r="M593" s="2">
        <v>1.8631490735009915E-2</v>
      </c>
    </row>
    <row r="594" spans="13:13" x14ac:dyDescent="0.3">
      <c r="M594" s="2">
        <v>1.9098906154531581E-2</v>
      </c>
    </row>
    <row r="595" spans="13:13" x14ac:dyDescent="0.3">
      <c r="M595" s="2">
        <v>1.8038807245878332E-2</v>
      </c>
    </row>
    <row r="596" spans="13:13" x14ac:dyDescent="0.3">
      <c r="M596" s="2">
        <v>1.8650062251968046E-2</v>
      </c>
    </row>
    <row r="597" spans="13:13" x14ac:dyDescent="0.3">
      <c r="M597" s="2">
        <v>2.3441051572254661E-2</v>
      </c>
    </row>
    <row r="598" spans="13:13" x14ac:dyDescent="0.3">
      <c r="M598" s="2">
        <v>1.9467984639489594E-2</v>
      </c>
    </row>
    <row r="599" spans="13:13" x14ac:dyDescent="0.3">
      <c r="M599" s="2">
        <v>2.1534138321623295E-2</v>
      </c>
    </row>
    <row r="600" spans="13:13" x14ac:dyDescent="0.3">
      <c r="M600" s="2">
        <v>2.4057865918315494E-2</v>
      </c>
    </row>
    <row r="601" spans="13:13" x14ac:dyDescent="0.3">
      <c r="M601" s="2">
        <v>3.0551444954019819E-2</v>
      </c>
    </row>
    <row r="602" spans="13:13" x14ac:dyDescent="0.3">
      <c r="M602" s="2">
        <v>3.1071675010793953E-2</v>
      </c>
    </row>
    <row r="603" spans="13:13" x14ac:dyDescent="0.3">
      <c r="M603" s="2">
        <v>3.7067600782090274E-2</v>
      </c>
    </row>
    <row r="604" spans="13:13" x14ac:dyDescent="0.3">
      <c r="M604" s="2">
        <v>3.5854551196425555E-2</v>
      </c>
    </row>
    <row r="605" spans="13:13" x14ac:dyDescent="0.3">
      <c r="M605" s="2">
        <v>4.3529616440294121E-2</v>
      </c>
    </row>
    <row r="606" spans="13:13" x14ac:dyDescent="0.3">
      <c r="M606" s="2">
        <v>3.9764426227304979E-2</v>
      </c>
    </row>
    <row r="607" spans="13:13" x14ac:dyDescent="0.3">
      <c r="M607" s="2">
        <v>3.7619578454138825E-2</v>
      </c>
    </row>
    <row r="608" spans="13:13" x14ac:dyDescent="0.3">
      <c r="M608" s="2">
        <v>2.698802263706232E-2</v>
      </c>
    </row>
    <row r="609" spans="13:13" x14ac:dyDescent="0.3">
      <c r="M609" s="2">
        <v>2.6608552178063787E-2</v>
      </c>
    </row>
    <row r="610" spans="13:13" x14ac:dyDescent="0.3">
      <c r="M610" s="2">
        <v>3.4136645851281677E-2</v>
      </c>
    </row>
    <row r="611" spans="13:13" x14ac:dyDescent="0.3">
      <c r="M611" s="2">
        <v>3.2500155509314288E-2</v>
      </c>
    </row>
    <row r="612" spans="13:13" x14ac:dyDescent="0.3">
      <c r="M612" s="2">
        <v>2.9254700992346127E-2</v>
      </c>
    </row>
    <row r="613" spans="13:13" x14ac:dyDescent="0.3">
      <c r="M613" s="2">
        <v>1.9812937802611695E-2</v>
      </c>
    </row>
    <row r="614" spans="13:13" x14ac:dyDescent="0.3">
      <c r="M614" s="2">
        <v>2.4002923588496823E-2</v>
      </c>
    </row>
    <row r="615" spans="13:13" x14ac:dyDescent="0.3">
      <c r="M615" s="2">
        <v>2.5685554141264451E-2</v>
      </c>
    </row>
    <row r="616" spans="13:13" x14ac:dyDescent="0.3">
      <c r="M616" s="2">
        <v>1.876330957961294E-2</v>
      </c>
    </row>
    <row r="617" spans="13:13" x14ac:dyDescent="0.3">
      <c r="M617" s="2">
        <v>2.2337779577431303E-2</v>
      </c>
    </row>
    <row r="618" spans="13:13" x14ac:dyDescent="0.3">
      <c r="M618" s="2">
        <v>1.6610167945193977E-2</v>
      </c>
    </row>
    <row r="619" spans="13:13" x14ac:dyDescent="0.3">
      <c r="M619" s="2">
        <v>1.1227266818987121E-2</v>
      </c>
    </row>
    <row r="620" spans="13:13" x14ac:dyDescent="0.3">
      <c r="M620" s="2">
        <v>1.5593911169538155E-2</v>
      </c>
    </row>
    <row r="621" spans="13:13" x14ac:dyDescent="0.3">
      <c r="M621" s="2">
        <v>9.6183165684178978E-3</v>
      </c>
    </row>
    <row r="622" spans="13:13" x14ac:dyDescent="0.3">
      <c r="M622" s="2">
        <v>1.807718346279202E-2</v>
      </c>
    </row>
    <row r="623" spans="13:13" x14ac:dyDescent="0.3">
      <c r="M623" s="2">
        <v>2.2469156040524775E-2</v>
      </c>
    </row>
    <row r="624" spans="13:13" x14ac:dyDescent="0.3">
      <c r="M624" s="2">
        <v>3.7733574338875857E-2</v>
      </c>
    </row>
    <row r="625" spans="13:13" x14ac:dyDescent="0.3">
      <c r="M625" s="2">
        <v>4.1262113605001448E-2</v>
      </c>
    </row>
    <row r="626" spans="13:13" x14ac:dyDescent="0.3">
      <c r="M626" s="2">
        <v>4.4713599859635883E-2</v>
      </c>
    </row>
    <row r="627" spans="13:13" x14ac:dyDescent="0.3">
      <c r="M627" s="2">
        <v>4.0897068914397462E-2</v>
      </c>
    </row>
    <row r="628" spans="13:13" x14ac:dyDescent="0.3">
      <c r="M628" s="2">
        <v>3.8113016082906438E-2</v>
      </c>
    </row>
    <row r="629" spans="13:13" x14ac:dyDescent="0.3">
      <c r="M629" s="2">
        <v>4.1521334845657766E-2</v>
      </c>
    </row>
    <row r="630" spans="13:13" x14ac:dyDescent="0.3">
      <c r="M630" s="2">
        <v>3.8618472639396169E-2</v>
      </c>
    </row>
    <row r="631" spans="13:13" x14ac:dyDescent="0.3">
      <c r="M631" s="2">
        <v>3.7930635188558839E-2</v>
      </c>
    </row>
    <row r="632" spans="13:13" x14ac:dyDescent="0.3">
      <c r="M632" s="2">
        <v>3.5060354480822578E-2</v>
      </c>
    </row>
    <row r="633" spans="13:13" x14ac:dyDescent="0.3">
      <c r="M633" s="2">
        <v>3.6791695808312735E-2</v>
      </c>
    </row>
    <row r="634" spans="13:13" x14ac:dyDescent="0.3">
      <c r="M634" s="2">
        <v>3.5680281587628974E-2</v>
      </c>
    </row>
  </sheetData>
  <mergeCells count="3">
    <mergeCell ref="A8:E8"/>
    <mergeCell ref="A9:E9"/>
    <mergeCell ref="A10:E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6842" r:id="rId3" name="Button 10">
              <controlPr defaultSize="0" print="0" autoFill="0" autoPict="0" macro="[0]!run_HW">
                <anchor moveWithCells="1" sizeWithCells="1">
                  <from>
                    <xdr:col>3</xdr:col>
                    <xdr:colOff>7620</xdr:colOff>
                    <xdr:row>2</xdr:row>
                    <xdr:rowOff>0</xdr:rowOff>
                  </from>
                  <to>
                    <xdr:col>5</xdr:col>
                    <xdr:colOff>609600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RSpline</vt:lpstr>
      <vt:lpstr>InputR</vt:lpstr>
      <vt:lpstr>HullWhite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</dc:creator>
  <cp:lastModifiedBy>user</cp:lastModifiedBy>
  <dcterms:created xsi:type="dcterms:W3CDTF">2010-08-23T03:50:42Z</dcterms:created>
  <dcterms:modified xsi:type="dcterms:W3CDTF">2020-05-12T17:43:39Z</dcterms:modified>
</cp:coreProperties>
</file>