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5ADB9ED-FEC2-4A42-908F-7F7CE67FE953}" xr6:coauthVersionLast="36" xr6:coauthVersionMax="36" xr10:uidLastSave="{00000000-0000-0000-0000-000000000000}"/>
  <bookViews>
    <workbookView xWindow="0" yWindow="0" windowWidth="23040" windowHeight="9000" activeTab="1" xr2:uid="{59599CC8-F363-424F-8B68-3201D67CF290}"/>
  </bookViews>
  <sheets>
    <sheet name="data" sheetId="2" r:id="rId1"/>
    <sheet name="hw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I52" i="2" l="1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J2" i="2"/>
  <c r="F2" i="2"/>
</calcChain>
</file>

<file path=xl/sharedStrings.xml><?xml version="1.0" encoding="utf-8"?>
<sst xmlns="http://schemas.openxmlformats.org/spreadsheetml/2006/main" count="21" uniqueCount="18">
  <si>
    <t>Yield Curve</t>
    <phoneticPr fontId="4" type="noConversion"/>
  </si>
  <si>
    <t>t</t>
    <phoneticPr fontId="4" type="noConversion"/>
  </si>
  <si>
    <t>r(t)</t>
    <phoneticPr fontId="4" type="noConversion"/>
  </si>
  <si>
    <t>P(0, t)</t>
    <phoneticPr fontId="4" type="noConversion"/>
  </si>
  <si>
    <t>Forward Rate Curve</t>
    <phoneticPr fontId="4" type="noConversion"/>
  </si>
  <si>
    <t>Instantaneous</t>
    <phoneticPr fontId="4" type="noConversion"/>
  </si>
  <si>
    <t>Derivative of Forward Rate (df/dt)</t>
  </si>
  <si>
    <t>r0</t>
  </si>
  <si>
    <t>a</t>
  </si>
  <si>
    <t>sigma</t>
  </si>
  <si>
    <t>N</t>
  </si>
  <si>
    <t>t0</t>
    <phoneticPr fontId="4" type="noConversion"/>
  </si>
  <si>
    <t>t1</t>
    <phoneticPr fontId="4" type="noConversion"/>
  </si>
  <si>
    <t>Bond Price</t>
    <phoneticPr fontId="4" type="noConversion"/>
  </si>
  <si>
    <t>Convention 1: no adjustment on negative r</t>
    <phoneticPr fontId="4" type="noConversion"/>
  </si>
  <si>
    <t>Convention 2: r:=0 for r&lt;0</t>
    <phoneticPr fontId="4" type="noConversion"/>
  </si>
  <si>
    <t>Convention 3: r:=-r for r&lt;0</t>
    <phoneticPr fontId="4" type="noConversion"/>
  </si>
  <si>
    <t>t(i)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</si>
</sst>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_);[Red]\(0.000\)"/>
    <numFmt numFmtId="178" formatCode="0.000"/>
    <numFmt numFmtId="179" formatCode="0.00000_ 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u/>
      <sz val="12"/>
      <color indexed="8"/>
      <name val="Arial"/>
      <family val="2"/>
    </font>
    <font>
      <sz val="9"/>
      <name val="新細明體"/>
      <family val="1"/>
      <charset val="136"/>
    </font>
    <font>
      <sz val="12"/>
      <color indexed="8"/>
      <name val="Arial"/>
      <family val="2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9" fontId="0" fillId="0" borderId="0" xfId="1" applyFont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77" fontId="5" fillId="0" borderId="0" xfId="1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178" fontId="5" fillId="0" borderId="0" xfId="0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2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0" fontId="5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10" fontId="5" fillId="0" borderId="0" xfId="1" applyNumberFormat="1" applyFont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0</xdr:rowOff>
        </xdr:from>
        <xdr:to>
          <xdr:col>6</xdr:col>
          <xdr:colOff>609600</xdr:colOff>
          <xdr:row>4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Hull-White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C5FF9-49E7-4D59-9CAB-37BB947C05CC}">
  <sheetPr codeName="工作表2"/>
  <dimension ref="A1:P52"/>
  <sheetViews>
    <sheetView workbookViewId="0">
      <selection activeCell="P8" sqref="P8"/>
    </sheetView>
  </sheetViews>
  <sheetFormatPr defaultRowHeight="16.2" x14ac:dyDescent="0.3"/>
  <cols>
    <col min="6" max="6" width="18.44140625" customWidth="1"/>
    <col min="7" max="7" width="16.109375" customWidth="1"/>
    <col min="10" max="10" width="18.21875" customWidth="1"/>
    <col min="11" max="11" width="8.88671875" customWidth="1"/>
  </cols>
  <sheetData>
    <row r="1" spans="1:16" x14ac:dyDescent="0.3">
      <c r="A1" s="18" t="s">
        <v>0</v>
      </c>
      <c r="B1" s="18"/>
      <c r="C1" s="18"/>
      <c r="D1" s="5"/>
      <c r="E1" s="18" t="s">
        <v>4</v>
      </c>
      <c r="F1" s="18"/>
      <c r="G1" s="18"/>
      <c r="H1" s="6"/>
      <c r="I1" s="18" t="s">
        <v>6</v>
      </c>
      <c r="J1" s="18"/>
      <c r="K1" s="18"/>
      <c r="P1" s="7" t="s">
        <v>17</v>
      </c>
    </row>
    <row r="2" spans="1:16" x14ac:dyDescent="0.3">
      <c r="A2" s="7" t="s">
        <v>1</v>
      </c>
      <c r="B2" s="8" t="s">
        <v>2</v>
      </c>
      <c r="C2" s="5" t="s">
        <v>3</v>
      </c>
      <c r="D2" s="9"/>
      <c r="E2" s="7" t="s">
        <v>1</v>
      </c>
      <c r="F2" s="8" t="str">
        <f>"Tenor = " &amp; (E4-E3)*12 &amp; " Mo"</f>
        <v>Tenor = 0.48 Mo</v>
      </c>
      <c r="G2" s="5" t="s">
        <v>5</v>
      </c>
      <c r="H2" s="6"/>
      <c r="I2" s="7" t="s">
        <v>1</v>
      </c>
      <c r="J2" s="8" t="str">
        <f>"Tenor = " &amp; (I4-I3)*12 &amp; " Mo"</f>
        <v>Tenor = 0.48 Mo</v>
      </c>
      <c r="K2" s="5" t="s">
        <v>5</v>
      </c>
      <c r="P2" s="6">
        <v>0</v>
      </c>
    </row>
    <row r="3" spans="1:16" x14ac:dyDescent="0.3">
      <c r="A3" s="6">
        <v>0</v>
      </c>
      <c r="B3" s="10">
        <v>2.2766685734735719E-3</v>
      </c>
      <c r="C3" s="11">
        <v>1</v>
      </c>
      <c r="D3" s="9"/>
      <c r="E3" s="12">
        <v>0</v>
      </c>
      <c r="F3" s="10">
        <v>2.2651120164566283E-3</v>
      </c>
      <c r="G3" s="10">
        <v>2.2766685734735719E-3</v>
      </c>
      <c r="H3" s="6"/>
      <c r="I3" s="12">
        <f>IF(E3&lt;&gt;"",E3,"")</f>
        <v>0</v>
      </c>
      <c r="J3" s="10">
        <v>-4.7194490895687349E-4</v>
      </c>
      <c r="K3" s="10">
        <v>-6.3847595395836369E-4</v>
      </c>
      <c r="P3" s="6">
        <v>0</v>
      </c>
    </row>
    <row r="4" spans="1:16" x14ac:dyDescent="0.3">
      <c r="A4" s="6">
        <v>0.2</v>
      </c>
      <c r="B4" s="10">
        <v>2.2405899993520871E-3</v>
      </c>
      <c r="C4" s="11">
        <v>0.99955198239000442</v>
      </c>
      <c r="D4" s="9"/>
      <c r="E4" s="12">
        <v>0.04</v>
      </c>
      <c r="F4" s="10">
        <v>2.2462342200983533E-3</v>
      </c>
      <c r="G4" s="10">
        <v>2.254460699524269E-3</v>
      </c>
      <c r="H4" s="6"/>
      <c r="I4" s="12">
        <f t="shared" ref="I4:I52" si="0">IF(E4&lt;&gt;"",E4,"")</f>
        <v>0.04</v>
      </c>
      <c r="J4" s="10">
        <v>-3.0530002356521412E-4</v>
      </c>
      <c r="K4" s="10">
        <v>-4.7190743094899207E-4</v>
      </c>
      <c r="P4" s="6">
        <v>0</v>
      </c>
    </row>
    <row r="5" spans="1:16" x14ac:dyDescent="0.3">
      <c r="A5" s="6">
        <v>0.4</v>
      </c>
      <c r="B5" s="10">
        <v>2.2600996165059663E-3</v>
      </c>
      <c r="C5" s="11">
        <v>0.99909636867430407</v>
      </c>
      <c r="D5" s="9"/>
      <c r="E5" s="12">
        <v>0.08</v>
      </c>
      <c r="F5" s="10">
        <v>2.2340222191557448E-3</v>
      </c>
      <c r="G5" s="10">
        <v>2.2389167951156249E-3</v>
      </c>
      <c r="H5" s="6"/>
      <c r="I5" s="12">
        <f t="shared" si="0"/>
        <v>0.08</v>
      </c>
      <c r="J5" s="10">
        <v>-1.3859513839186008E-4</v>
      </c>
      <c r="K5" s="10">
        <v>-3.0527768431177273E-4</v>
      </c>
      <c r="P5" s="6">
        <v>0</v>
      </c>
    </row>
    <row r="6" spans="1:16" x14ac:dyDescent="0.3">
      <c r="A6" s="6">
        <v>0.6</v>
      </c>
      <c r="B6" s="10">
        <v>2.3352746547159581E-3</v>
      </c>
      <c r="C6" s="11">
        <v>0.99859981638024353</v>
      </c>
      <c r="D6" s="9"/>
      <c r="E6" s="12">
        <v>0.12</v>
      </c>
      <c r="F6" s="10">
        <v>2.2284784136200704E-3</v>
      </c>
      <c r="G6" s="10">
        <v>2.2300392872635364E-3</v>
      </c>
      <c r="H6" s="6"/>
      <c r="I6" s="12">
        <f t="shared" si="0"/>
        <v>0.12</v>
      </c>
      <c r="J6" s="10">
        <v>2.8169300825937275E-5</v>
      </c>
      <c r="K6" s="10">
        <v>-1.3858773655988437E-4</v>
      </c>
      <c r="P6" s="6">
        <v>2</v>
      </c>
    </row>
    <row r="7" spans="1:16" x14ac:dyDescent="0.3">
      <c r="A7" s="6">
        <v>0.8</v>
      </c>
      <c r="B7" s="10">
        <v>2.4662024686942464E-3</v>
      </c>
      <c r="C7" s="11">
        <v>0.99802898303516796</v>
      </c>
      <c r="D7" s="9"/>
      <c r="E7" s="12">
        <v>0.16</v>
      </c>
      <c r="F7" s="10">
        <v>2.2296051856531079E-3</v>
      </c>
      <c r="G7" s="10">
        <v>2.2278305709608776E-3</v>
      </c>
      <c r="H7" s="6"/>
      <c r="I7" s="12">
        <f t="shared" si="0"/>
        <v>0.16</v>
      </c>
      <c r="J7" s="10">
        <v>1.9499329315058158E-4</v>
      </c>
      <c r="K7" s="10">
        <v>2.8161833763007362E-5</v>
      </c>
      <c r="P7" s="6">
        <v>10</v>
      </c>
    </row>
    <row r="8" spans="1:16" x14ac:dyDescent="0.3">
      <c r="A8" s="6">
        <v>1</v>
      </c>
      <c r="B8" s="10">
        <v>2.6529899012343356E-3</v>
      </c>
      <c r="C8" s="11">
        <v>0.99735052616642239</v>
      </c>
      <c r="D8" s="9"/>
      <c r="E8" s="12">
        <v>0.2</v>
      </c>
      <c r="F8" s="10">
        <v>2.2374049173791311E-3</v>
      </c>
      <c r="G8" s="10">
        <v>2.2322930269475434E-3</v>
      </c>
      <c r="H8" s="6"/>
      <c r="I8" s="12">
        <f t="shared" si="0"/>
        <v>0.2</v>
      </c>
      <c r="J8" s="10">
        <v>3.6187728418129441E-4</v>
      </c>
      <c r="K8" s="10">
        <v>1.9497089264463024E-4</v>
      </c>
      <c r="P8" s="6">
        <v>25</v>
      </c>
    </row>
    <row r="9" spans="1:16" x14ac:dyDescent="0.3">
      <c r="A9" s="6">
        <v>1.2</v>
      </c>
      <c r="B9" s="10">
        <v>2.8957727259406973E-3</v>
      </c>
      <c r="C9" s="11">
        <v>0.99653110330135175</v>
      </c>
      <c r="D9" s="9"/>
      <c r="E9" s="12">
        <v>0.24</v>
      </c>
      <c r="F9" s="10">
        <v>2.2518800087463829E-3</v>
      </c>
      <c r="G9" s="10">
        <v>2.2434290395028449E-3</v>
      </c>
      <c r="H9" s="6"/>
      <c r="I9" s="12">
        <f t="shared" si="0"/>
        <v>0.24</v>
      </c>
      <c r="J9" s="10">
        <v>5.2882216404644394E-4</v>
      </c>
      <c r="K9" s="10">
        <v>3.6183975116086488E-4</v>
      </c>
      <c r="P9" s="6"/>
    </row>
    <row r="10" spans="1:16" x14ac:dyDescent="0.3">
      <c r="A10" s="6">
        <v>1.4</v>
      </c>
      <c r="B10" s="10">
        <v>3.1947252008365087E-3</v>
      </c>
      <c r="C10" s="11">
        <v>0.99553737196730085</v>
      </c>
      <c r="D10" s="9"/>
      <c r="E10" s="12">
        <v>0.28000000000000003</v>
      </c>
      <c r="F10" s="10">
        <v>2.2730328953082407E-3</v>
      </c>
      <c r="G10" s="10">
        <v>2.2612410142601883E-3</v>
      </c>
      <c r="H10" s="6"/>
      <c r="I10" s="12">
        <f t="shared" si="0"/>
        <v>0.28000000000000003</v>
      </c>
      <c r="J10" s="10">
        <v>6.9582926950208322E-4</v>
      </c>
      <c r="K10" s="10">
        <v>5.2876916603402844E-4</v>
      </c>
      <c r="P10" s="6"/>
    </row>
    <row r="11" spans="1:16" x14ac:dyDescent="0.3">
      <c r="A11" s="6">
        <v>1.6</v>
      </c>
      <c r="B11" s="10">
        <v>3.5500697764396815E-3</v>
      </c>
      <c r="C11" s="11">
        <v>0.99433598969161485</v>
      </c>
      <c r="D11" s="9"/>
      <c r="E11" s="12">
        <v>0.32</v>
      </c>
      <c r="F11" s="10">
        <v>2.300866066088324E-3</v>
      </c>
      <c r="G11" s="10">
        <v>2.2857313960442218E-3</v>
      </c>
      <c r="H11" s="6"/>
      <c r="I11" s="12">
        <f t="shared" si="0"/>
        <v>0.32</v>
      </c>
      <c r="J11" s="10">
        <v>8.6290038535451023E-4</v>
      </c>
      <c r="K11" s="10">
        <v>6.9576034019934116E-4</v>
      </c>
    </row>
    <row r="12" spans="1:16" x14ac:dyDescent="0.3">
      <c r="A12" s="6">
        <v>1.8</v>
      </c>
      <c r="B12" s="10">
        <v>3.962087014689834E-3</v>
      </c>
      <c r="C12" s="11">
        <v>0.99289361400163867</v>
      </c>
      <c r="D12" s="9"/>
      <c r="E12" s="12">
        <v>0.36</v>
      </c>
      <c r="F12" s="10">
        <v>2.3353820815025044E-3</v>
      </c>
      <c r="G12" s="10">
        <v>2.3169026867309156E-3</v>
      </c>
      <c r="H12" s="6"/>
      <c r="I12" s="12">
        <f t="shared" si="0"/>
        <v>0.36</v>
      </c>
      <c r="J12" s="10">
        <v>1.0300377428509215E-3</v>
      </c>
      <c r="K12" s="10">
        <v>8.6281492338625932E-4</v>
      </c>
    </row>
    <row r="13" spans="1:16" x14ac:dyDescent="0.3">
      <c r="A13" s="6">
        <v>2</v>
      </c>
      <c r="B13" s="10">
        <v>4.4311257886083767E-3</v>
      </c>
      <c r="C13" s="11">
        <v>0.99117690242471712</v>
      </c>
      <c r="D13" s="9"/>
      <c r="E13" s="12">
        <v>0.4</v>
      </c>
      <c r="F13" s="10">
        <v>2.3765835912165413E-3</v>
      </c>
      <c r="G13" s="10">
        <v>2.3547574631313092E-3</v>
      </c>
      <c r="H13" s="6"/>
      <c r="I13" s="12">
        <f t="shared" si="0"/>
        <v>0.4</v>
      </c>
      <c r="J13" s="10">
        <v>1.1972440215037667E-3</v>
      </c>
      <c r="K13" s="10">
        <v>1.0299350127213704E-3</v>
      </c>
    </row>
    <row r="14" spans="1:16" x14ac:dyDescent="0.3">
      <c r="A14" s="6">
        <v>2.2000000000000002</v>
      </c>
      <c r="B14" s="10">
        <v>4.9543525609238442E-3</v>
      </c>
      <c r="C14" s="11">
        <v>0.98915960951429815</v>
      </c>
      <c r="D14" s="9"/>
      <c r="E14" s="12">
        <v>0.44</v>
      </c>
      <c r="F14" s="10">
        <v>2.4244733520766919E-3</v>
      </c>
      <c r="G14" s="10">
        <v>2.3992983948999159E-3</v>
      </c>
      <c r="H14" s="6"/>
      <c r="I14" s="12">
        <f t="shared" si="0"/>
        <v>0.44</v>
      </c>
      <c r="J14" s="10">
        <v>1.364522350883737E-3</v>
      </c>
      <c r="K14" s="10">
        <v>1.197123153359567E-3</v>
      </c>
    </row>
    <row r="15" spans="1:16" x14ac:dyDescent="0.3">
      <c r="A15" s="6">
        <v>2.4</v>
      </c>
      <c r="B15" s="10">
        <v>5.5180960212571689E-3</v>
      </c>
      <c r="C15" s="11">
        <v>0.98684387792824024</v>
      </c>
      <c r="D15" s="9"/>
      <c r="E15" s="12">
        <v>0.48</v>
      </c>
      <c r="F15" s="10">
        <v>2.4790542461120414E-3</v>
      </c>
      <c r="G15" s="10">
        <v>2.450528262469043E-3</v>
      </c>
      <c r="H15" s="6"/>
      <c r="I15" s="12">
        <f t="shared" si="0"/>
        <v>0.48</v>
      </c>
      <c r="J15" s="10">
        <v>1.5318763094694264E-3</v>
      </c>
      <c r="K15" s="10">
        <v>1.3643823391502408E-3</v>
      </c>
    </row>
    <row r="16" spans="1:16" x14ac:dyDescent="0.3">
      <c r="A16" s="6">
        <v>2.6</v>
      </c>
      <c r="B16" s="10">
        <v>6.1102225906491123E-3</v>
      </c>
      <c r="C16" s="11">
        <v>0.98423894735050488</v>
      </c>
      <c r="D16" s="9"/>
      <c r="E16" s="12">
        <v>0.52</v>
      </c>
      <c r="F16" s="10">
        <v>2.5403292984908185E-3</v>
      </c>
      <c r="G16" s="10">
        <v>2.5084499750105912E-3</v>
      </c>
      <c r="H16" s="6"/>
      <c r="I16" s="12">
        <f t="shared" si="0"/>
        <v>0.52</v>
      </c>
      <c r="J16" s="10">
        <v>1.6993099257025862E-3</v>
      </c>
      <c r="K16" s="10">
        <v>1.5317160133452546E-3</v>
      </c>
    </row>
    <row r="17" spans="1:11" x14ac:dyDescent="0.3">
      <c r="A17" s="6">
        <v>2.8</v>
      </c>
      <c r="B17" s="10">
        <v>6.72213202990054E-3</v>
      </c>
      <c r="C17" s="11">
        <v>0.98135405746505344</v>
      </c>
      <c r="D17" s="9"/>
      <c r="E17" s="12">
        <v>0.56000000000000005</v>
      </c>
      <c r="F17" s="10">
        <v>2.6083016955189219E-3</v>
      </c>
      <c r="G17" s="10">
        <v>2.5730665884271045E-3</v>
      </c>
      <c r="H17" s="6"/>
      <c r="I17" s="12">
        <f t="shared" si="0"/>
        <v>0.56000000000000005</v>
      </c>
      <c r="J17" s="10">
        <v>1.8668276803509047E-3</v>
      </c>
      <c r="K17" s="10">
        <v>1.6991280693554774E-3</v>
      </c>
    </row>
    <row r="18" spans="1:11" x14ac:dyDescent="0.3">
      <c r="A18" s="6">
        <v>3</v>
      </c>
      <c r="B18" s="10">
        <v>7.3475725036285001E-3</v>
      </c>
      <c r="C18" s="11">
        <v>0.97819844795584732</v>
      </c>
      <c r="D18" s="9"/>
      <c r="E18" s="12">
        <v>0.6</v>
      </c>
      <c r="F18" s="10">
        <v>2.6829748027329581E-3</v>
      </c>
      <c r="G18" s="10">
        <v>2.6443813233741733E-3</v>
      </c>
      <c r="H18" s="6"/>
      <c r="I18" s="12">
        <f t="shared" si="0"/>
        <v>0.6</v>
      </c>
      <c r="J18" s="10">
        <v>2.0344345056704286E-3</v>
      </c>
      <c r="K18" s="10">
        <v>1.8666228515626887E-3</v>
      </c>
    </row>
    <row r="19" spans="1:11" x14ac:dyDescent="0.3">
      <c r="A19" s="6">
        <v>3.2</v>
      </c>
      <c r="B19" s="10">
        <v>7.9819002552643185E-3</v>
      </c>
      <c r="C19" s="11">
        <v>0.97478135850684788</v>
      </c>
      <c r="D19" s="9"/>
      <c r="E19" s="12">
        <v>0.64</v>
      </c>
      <c r="F19" s="10">
        <v>2.7643521829597752E-3</v>
      </c>
      <c r="G19" s="10">
        <v>2.7223975833165354E-3</v>
      </c>
      <c r="H19" s="6"/>
      <c r="I19" s="12">
        <f t="shared" si="0"/>
        <v>0.64</v>
      </c>
      <c r="J19" s="10">
        <v>2.2021357874197397E-3</v>
      </c>
      <c r="K19" s="10">
        <v>2.0342051561936972E-3</v>
      </c>
    </row>
    <row r="20" spans="1:11" x14ac:dyDescent="0.3">
      <c r="A20" s="6">
        <v>3.4</v>
      </c>
      <c r="B20" s="10">
        <v>8.6216007878196516E-3</v>
      </c>
      <c r="C20" s="11">
        <v>0.97111202880201664</v>
      </c>
      <c r="D20" s="9"/>
      <c r="E20" s="12">
        <v>0.68</v>
      </c>
      <c r="F20" s="10">
        <v>2.8524376144565648E-3</v>
      </c>
      <c r="G20" s="10">
        <v>2.8071189726204993E-3</v>
      </c>
      <c r="H20" s="6"/>
      <c r="I20" s="12">
        <f t="shared" si="0"/>
        <v>0.68</v>
      </c>
      <c r="J20" s="10">
        <v>2.3699373653528872E-3</v>
      </c>
      <c r="K20" s="10">
        <v>2.2018802322635311E-3</v>
      </c>
    </row>
    <row r="21" spans="1:11" x14ac:dyDescent="0.3">
      <c r="A21" s="6">
        <v>3.6</v>
      </c>
      <c r="B21" s="10">
        <v>9.2639698277763322E-3</v>
      </c>
      <c r="C21" s="11">
        <v>0.96719969852531518</v>
      </c>
      <c r="D21" s="9"/>
      <c r="E21" s="12">
        <v>0.72</v>
      </c>
      <c r="F21" s="10">
        <v>2.9472351090706803E-3</v>
      </c>
      <c r="G21" s="10">
        <v>2.8985493146855904E-3</v>
      </c>
      <c r="H21" s="6"/>
      <c r="I21" s="12">
        <f t="shared" si="0"/>
        <v>0.72</v>
      </c>
      <c r="J21" s="10">
        <v>2.5378455347029234E-3</v>
      </c>
      <c r="K21" s="10">
        <v>2.3696537825946109E-3</v>
      </c>
    </row>
    <row r="22" spans="1:11" x14ac:dyDescent="0.3">
      <c r="A22" s="6">
        <v>3.8</v>
      </c>
      <c r="B22" s="10">
        <v>9.9068951821404388E-3</v>
      </c>
      <c r="C22" s="11">
        <v>0.96305360736070456</v>
      </c>
      <c r="D22" s="9"/>
      <c r="E22" s="12">
        <v>0.76</v>
      </c>
      <c r="F22" s="10">
        <v>3.0487489304587972E-3</v>
      </c>
      <c r="G22" s="10">
        <v>2.996692670118603E-3</v>
      </c>
      <c r="H22" s="6"/>
      <c r="I22" s="12">
        <f t="shared" si="0"/>
        <v>0.76</v>
      </c>
      <c r="J22" s="10">
        <v>2.7058670469227064E-3</v>
      </c>
      <c r="K22" s="10">
        <v>2.5375319649188423E-3</v>
      </c>
    </row>
    <row r="23" spans="1:11" x14ac:dyDescent="0.3">
      <c r="A23" s="6">
        <v>4</v>
      </c>
      <c r="B23" s="10">
        <v>1.0548704156492946E-2</v>
      </c>
      <c r="C23" s="11">
        <v>0.95868299499214615</v>
      </c>
      <c r="D23" s="9"/>
      <c r="E23" s="12">
        <v>0.8</v>
      </c>
      <c r="F23" s="10">
        <v>3.1569836123357055E-3</v>
      </c>
      <c r="G23" s="10">
        <v>3.1015533549535062E-3</v>
      </c>
      <c r="H23" s="6"/>
      <c r="I23" s="12">
        <f t="shared" si="0"/>
        <v>0.8</v>
      </c>
      <c r="J23" s="10">
        <v>2.8740091119858701E-3</v>
      </c>
      <c r="K23" s="10">
        <v>2.7055213930695979E-3</v>
      </c>
    </row>
    <row r="24" spans="1:11" x14ac:dyDescent="0.3">
      <c r="A24" s="6">
        <v>4.2</v>
      </c>
      <c r="B24" s="10">
        <v>1.1188054663318216E-2</v>
      </c>
      <c r="C24" s="11">
        <v>0.95409710110360169</v>
      </c>
      <c r="D24" s="9"/>
      <c r="E24" s="12">
        <v>0.84</v>
      </c>
      <c r="F24" s="10">
        <v>3.2719439768151403E-3</v>
      </c>
      <c r="G24" s="10">
        <v>3.2131359589209433E-3</v>
      </c>
      <c r="H24" s="6"/>
      <c r="I24" s="12">
        <f t="shared" si="0"/>
        <v>0.84</v>
      </c>
      <c r="J24" s="10">
        <v>3.0422793987780364E-3</v>
      </c>
      <c r="K24" s="10">
        <v>2.8736291382706241E-3</v>
      </c>
    </row>
    <row r="25" spans="1:11" x14ac:dyDescent="0.3">
      <c r="A25" s="6">
        <v>4.4000000000000004</v>
      </c>
      <c r="B25" s="10">
        <v>1.1823856104263347E-2</v>
      </c>
      <c r="C25" s="11">
        <v>0.94930516537903231</v>
      </c>
      <c r="D25" s="9"/>
      <c r="E25" s="12">
        <v>0.88</v>
      </c>
      <c r="F25" s="10">
        <v>3.3936351527662618E-3</v>
      </c>
      <c r="G25" s="10">
        <v>3.331445363771353E-3</v>
      </c>
      <c r="H25" s="6"/>
      <c r="I25" s="12">
        <f t="shared" si="0"/>
        <v>0.88</v>
      </c>
      <c r="J25" s="10">
        <v>3.2106860369923804E-3</v>
      </c>
      <c r="K25" s="10">
        <v>3.0418627305289401E-3</v>
      </c>
    </row>
    <row r="26" spans="1:11" x14ac:dyDescent="0.3">
      <c r="A26" s="6">
        <v>4.5999999999999996</v>
      </c>
      <c r="B26" s="10">
        <v>1.245521095167855E-2</v>
      </c>
      <c r="C26" s="11">
        <v>0.94431642750239964</v>
      </c>
      <c r="D26" s="9"/>
      <c r="E26" s="12">
        <v>0.92</v>
      </c>
      <c r="F26" s="10">
        <v>3.522062594245957E-3</v>
      </c>
      <c r="G26" s="10">
        <v>3.456486761655993E-3</v>
      </c>
      <c r="H26" s="6"/>
      <c r="I26" s="12">
        <f t="shared" si="0"/>
        <v>0.92</v>
      </c>
      <c r="J26" s="10">
        <v>3.3792376189372775E-3</v>
      </c>
      <c r="K26" s="10">
        <v>3.2102301601388459E-3</v>
      </c>
    </row>
    <row r="27" spans="1:11" x14ac:dyDescent="0.3">
      <c r="A27" s="6">
        <v>4.8</v>
      </c>
      <c r="B27" s="10">
        <v>1.3081370980778462E-2</v>
      </c>
      <c r="C27" s="11">
        <v>0.93914012715766493</v>
      </c>
      <c r="D27" s="9"/>
      <c r="E27" s="12">
        <v>0.96</v>
      </c>
      <c r="F27" s="10">
        <v>3.6572320990034481E-3</v>
      </c>
      <c r="G27" s="10">
        <v>3.5882656735704713E-3</v>
      </c>
      <c r="H27" s="6"/>
      <c r="I27" s="12">
        <f t="shared" si="0"/>
        <v>0.96</v>
      </c>
      <c r="J27" s="10">
        <v>3.5479432016822425E-3</v>
      </c>
      <c r="K27" s="10">
        <v>3.3787398793042318E-3</v>
      </c>
    </row>
    <row r="28" spans="1:11" x14ac:dyDescent="0.3">
      <c r="A28" s="6">
        <v>5</v>
      </c>
      <c r="B28" s="10">
        <v>1.370170404034016E-2</v>
      </c>
      <c r="C28" s="11">
        <v>0.93378550402878957</v>
      </c>
      <c r="D28" s="9"/>
      <c r="E28" s="12">
        <v>1</v>
      </c>
      <c r="F28" s="10">
        <v>3.7991498270707378E-3</v>
      </c>
      <c r="G28" s="10">
        <v>3.7267879678656579E-3</v>
      </c>
      <c r="H28" s="6"/>
      <c r="I28" s="12">
        <f t="shared" si="0"/>
        <v>1</v>
      </c>
      <c r="J28" s="10">
        <v>3.7168123078072332E-3</v>
      </c>
      <c r="K28" s="10">
        <v>3.5474008038864323E-3</v>
      </c>
    </row>
    <row r="29" spans="1:11" x14ac:dyDescent="0.3">
      <c r="A29" s="6">
        <v>5.5</v>
      </c>
      <c r="B29" s="10">
        <v>1.5223659414863531E-2</v>
      </c>
      <c r="C29" s="11">
        <v>0.91967941945198295</v>
      </c>
      <c r="D29" s="9"/>
      <c r="E29" s="12">
        <v>1.04</v>
      </c>
      <c r="F29" s="10">
        <v>3.9478223193830271E-3</v>
      </c>
      <c r="G29" s="10">
        <v>3.8720598788311413E-3</v>
      </c>
      <c r="H29" s="6"/>
      <c r="I29" s="12">
        <f t="shared" si="0"/>
        <v>1.04</v>
      </c>
      <c r="J29" s="10">
        <v>3.8858549292187594E-3</v>
      </c>
      <c r="K29" s="10">
        <v>3.7162223152849313E-3</v>
      </c>
    </row>
    <row r="30" spans="1:11" x14ac:dyDescent="0.3">
      <c r="A30" s="6">
        <v>6</v>
      </c>
      <c r="B30" s="10">
        <v>1.6699177053724118E-2</v>
      </c>
      <c r="C30" s="11">
        <v>0.90466093556095339</v>
      </c>
      <c r="D30" s="9"/>
      <c r="E30" s="12">
        <v>1.08</v>
      </c>
      <c r="F30" s="10">
        <v>4.1032565165517775E-3</v>
      </c>
      <c r="G30" s="10">
        <v>4.024088025356691E-3</v>
      </c>
      <c r="H30" s="6"/>
      <c r="I30" s="12">
        <f t="shared" si="0"/>
        <v>1.08</v>
      </c>
      <c r="J30" s="10">
        <v>4.0550815272187308E-3</v>
      </c>
      <c r="K30" s="10">
        <v>3.8852142624583147E-3</v>
      </c>
    </row>
    <row r="31" spans="1:11" x14ac:dyDescent="0.3">
      <c r="A31" s="6">
        <v>6.5</v>
      </c>
      <c r="B31" s="10">
        <v>1.8122970856772527E-2</v>
      </c>
      <c r="C31" s="11">
        <v>0.88887442241759795</v>
      </c>
      <c r="D31" s="9"/>
      <c r="E31" s="12">
        <v>1.1200000000000001</v>
      </c>
      <c r="F31" s="10">
        <v>4.2654597776405267E-3</v>
      </c>
      <c r="G31" s="10">
        <v>4.1828794296774963E-3</v>
      </c>
      <c r="H31" s="6"/>
      <c r="I31" s="12">
        <f t="shared" si="0"/>
        <v>1.1200000000000001</v>
      </c>
      <c r="J31" s="10">
        <v>4.2245030369076177E-3</v>
      </c>
      <c r="K31" s="10">
        <v>4.054386964092941E-3</v>
      </c>
    </row>
    <row r="32" spans="1:11" x14ac:dyDescent="0.3">
      <c r="A32" s="6">
        <v>7</v>
      </c>
      <c r="B32" s="10">
        <v>1.9490514265855689E-2</v>
      </c>
      <c r="C32" s="11">
        <v>0.87246425008381356</v>
      </c>
      <c r="D32" s="9"/>
      <c r="E32" s="12">
        <v>1.1599999999999999</v>
      </c>
      <c r="F32" s="10">
        <v>4.4344398991168314E-3</v>
      </c>
      <c r="G32" s="10">
        <v>4.3484415362092192E-3</v>
      </c>
      <c r="H32" s="6"/>
      <c r="I32" s="12">
        <f t="shared" si="0"/>
        <v>1.1599999999999999</v>
      </c>
      <c r="J32" s="10">
        <v>4.3941308688998006E-3</v>
      </c>
      <c r="K32" s="10">
        <v>4.2237512109268684E-3</v>
      </c>
    </row>
    <row r="33" spans="1:11" x14ac:dyDescent="0.3">
      <c r="A33" s="6">
        <v>7.5</v>
      </c>
      <c r="B33" s="10">
        <v>2.0797569136308338E-2</v>
      </c>
      <c r="C33" s="11">
        <v>0.85557478862149716</v>
      </c>
      <c r="D33" s="9"/>
      <c r="E33" s="12">
        <v>1.2</v>
      </c>
      <c r="F33" s="10">
        <v>4.6102051338728234E-3</v>
      </c>
      <c r="G33" s="10">
        <v>4.5207822304792469E-3</v>
      </c>
      <c r="H33" s="6"/>
      <c r="I33" s="12">
        <f t="shared" si="0"/>
        <v>1.2</v>
      </c>
      <c r="J33" s="10">
        <v>4.5639769118390816E-3</v>
      </c>
      <c r="K33" s="10">
        <v>4.3933182682367195E-3</v>
      </c>
    </row>
    <row r="34" spans="1:11" x14ac:dyDescent="0.3">
      <c r="A34" s="6">
        <v>8</v>
      </c>
      <c r="B34" s="10">
        <v>2.2039889727225394E-2</v>
      </c>
      <c r="C34" s="11">
        <v>0.8383504080925458</v>
      </c>
      <c r="D34" s="9"/>
      <c r="E34" s="12">
        <v>1.24</v>
      </c>
      <c r="F34" s="10">
        <v>4.7927642103463867E-3</v>
      </c>
      <c r="G34" s="10">
        <v>4.6999098581608015E-3</v>
      </c>
      <c r="H34" s="6"/>
      <c r="I34" s="12">
        <f t="shared" si="0"/>
        <v>1.24</v>
      </c>
      <c r="J34" s="10">
        <v>4.7340535350252075E-3</v>
      </c>
      <c r="K34" s="10">
        <v>4.5630998784952021E-3</v>
      </c>
    </row>
    <row r="35" spans="1:11" x14ac:dyDescent="0.3">
      <c r="A35" s="6">
        <v>8.5</v>
      </c>
      <c r="B35" s="10">
        <v>2.3213030760263702E-2</v>
      </c>
      <c r="C35" s="11">
        <v>0.82093547855885629</v>
      </c>
      <c r="D35" s="9"/>
      <c r="E35" s="12">
        <v>1.28</v>
      </c>
      <c r="F35" s="10">
        <v>4.982126351747395E-3</v>
      </c>
      <c r="G35" s="10">
        <v>4.8858332442168959E-3</v>
      </c>
      <c r="H35" s="6"/>
      <c r="I35" s="12">
        <f t="shared" si="0"/>
        <v>1.28</v>
      </c>
      <c r="J35" s="10">
        <v>4.9043735931117178E-3</v>
      </c>
      <c r="K35" s="10">
        <v>4.7331082642071733E-3</v>
      </c>
    </row>
    <row r="36" spans="1:11" x14ac:dyDescent="0.3">
      <c r="A36" s="6">
        <v>9</v>
      </c>
      <c r="B36" s="10">
        <v>2.4312221350815757E-2</v>
      </c>
      <c r="C36" s="11">
        <v>0.80347437008232592</v>
      </c>
      <c r="D36" s="9"/>
      <c r="E36" s="12">
        <v>1.32</v>
      </c>
      <c r="F36" s="10">
        <v>5.1783012954718637E-3</v>
      </c>
      <c r="G36" s="10">
        <v>5.0785617121614397E-3</v>
      </c>
      <c r="H36" s="6"/>
      <c r="I36" s="12">
        <f t="shared" si="0"/>
        <v>1.32</v>
      </c>
      <c r="J36" s="10">
        <v>5.0749504273788198E-3</v>
      </c>
      <c r="K36" s="10">
        <v>4.9033561309322097E-3</v>
      </c>
    </row>
    <row r="37" spans="1:11" x14ac:dyDescent="0.3">
      <c r="A37" s="6">
        <v>9.5</v>
      </c>
      <c r="B37" s="10">
        <v>2.5332284131090926E-2</v>
      </c>
      <c r="C37" s="11">
        <v>0.78611145272485161</v>
      </c>
      <c r="D37" s="9"/>
      <c r="E37" s="12">
        <v>1.36</v>
      </c>
      <c r="F37" s="10">
        <v>5.3812993125670165E-3</v>
      </c>
      <c r="G37" s="10">
        <v>5.278105103445104E-3</v>
      </c>
      <c r="H37" s="6"/>
      <c r="I37" s="12">
        <f t="shared" si="0"/>
        <v>1.36</v>
      </c>
      <c r="J37" s="10">
        <v>5.2457978702075874E-3</v>
      </c>
      <c r="K37" s="10">
        <v>5.0738566705017963E-3</v>
      </c>
    </row>
    <row r="38" spans="1:11" x14ac:dyDescent="0.3">
      <c r="A38" s="6">
        <v>10</v>
      </c>
      <c r="B38" s="10">
        <v>2.6267588750407724E-2</v>
      </c>
      <c r="C38" s="11">
        <v>0.76899109654833009</v>
      </c>
      <c r="D38" s="9"/>
      <c r="E38" s="12">
        <v>1.4</v>
      </c>
      <c r="F38" s="10">
        <v>5.59113122737532E-3</v>
      </c>
      <c r="G38" s="10">
        <v>5.4844737969739132E-3</v>
      </c>
      <c r="H38" s="6"/>
      <c r="I38" s="12">
        <f t="shared" si="0"/>
        <v>1.4</v>
      </c>
      <c r="J38" s="10">
        <v>5.4169302492816131E-3</v>
      </c>
      <c r="K38" s="10">
        <v>5.2446235644393741E-3</v>
      </c>
    </row>
    <row r="39" spans="1:11" x14ac:dyDescent="0.3">
      <c r="A39" s="6">
        <v>11</v>
      </c>
      <c r="B39" s="10">
        <v>2.7884343826814064E-2</v>
      </c>
      <c r="C39" s="11">
        <v>0.73585088543195765</v>
      </c>
      <c r="D39" s="9"/>
      <c r="E39" s="12">
        <v>1.44</v>
      </c>
      <c r="F39" s="10">
        <v>5.8078084373465845E-3</v>
      </c>
      <c r="G39" s="10">
        <v>5.6976787287688286E-3</v>
      </c>
      <c r="H39" s="6"/>
      <c r="I39" s="12">
        <f t="shared" si="0"/>
        <v>1.44</v>
      </c>
      <c r="J39" s="10">
        <v>5.5883623905482026E-3</v>
      </c>
      <c r="K39" s="10">
        <v>5.415670987591624E-3</v>
      </c>
    </row>
    <row r="40" spans="1:11" x14ac:dyDescent="0.3">
      <c r="A40" s="6">
        <v>12</v>
      </c>
      <c r="B40" s="10">
        <v>2.9226135607604134E-2</v>
      </c>
      <c r="C40" s="11">
        <v>0.70418538445950196</v>
      </c>
      <c r="D40" s="9"/>
      <c r="E40" s="12">
        <v>1.48</v>
      </c>
      <c r="F40" s="10">
        <v>6.0313429329685126E-3</v>
      </c>
      <c r="G40" s="10">
        <v>5.9177314117749508E-3</v>
      </c>
      <c r="H40" s="6"/>
      <c r="I40" s="12">
        <f t="shared" si="0"/>
        <v>1.48</v>
      </c>
      <c r="J40" s="10">
        <v>5.760109622665187E-3</v>
      </c>
      <c r="K40" s="10">
        <v>5.587013611979527E-3</v>
      </c>
    </row>
    <row r="41" spans="1:11" x14ac:dyDescent="0.3">
      <c r="A41" s="6">
        <v>13</v>
      </c>
      <c r="B41" s="10">
        <v>3.0357040520219938E-2</v>
      </c>
      <c r="C41" s="11">
        <v>0.6739215788034808</v>
      </c>
      <c r="D41" s="9"/>
      <c r="E41" s="12">
        <v>1.52</v>
      </c>
      <c r="F41" s="10">
        <v>6.2617473178751201E-3</v>
      </c>
      <c r="G41" s="10">
        <v>6.1446439558293115E-3</v>
      </c>
      <c r="H41" s="6"/>
      <c r="I41" s="12">
        <f t="shared" si="0"/>
        <v>1.52</v>
      </c>
      <c r="J41" s="10">
        <v>5.9321877819685847E-3</v>
      </c>
      <c r="K41" s="10">
        <v>5.7586666108779159E-3</v>
      </c>
    </row>
    <row r="42" spans="1:11" x14ac:dyDescent="0.3">
      <c r="A42" s="6">
        <v>14</v>
      </c>
      <c r="B42" s="10">
        <v>3.1323283180071597E-2</v>
      </c>
      <c r="C42" s="11">
        <v>0.64498645363641172</v>
      </c>
      <c r="D42" s="9"/>
      <c r="E42" s="12">
        <v>1.56</v>
      </c>
      <c r="F42" s="10">
        <v>6.4990348291538635E-3</v>
      </c>
      <c r="G42" s="10">
        <v>6.3784290877965527E-3</v>
      </c>
      <c r="H42" s="6"/>
      <c r="I42" s="12">
        <f t="shared" si="0"/>
        <v>1.56</v>
      </c>
      <c r="J42" s="10">
        <v>6.1046132164343852E-3</v>
      </c>
      <c r="K42" s="10">
        <v>5.9306456631323719E-3</v>
      </c>
    </row>
    <row r="43" spans="1:11" x14ac:dyDescent="0.3">
      <c r="A43" s="6">
        <v>15</v>
      </c>
      <c r="B43" s="10">
        <v>3.215925462994286E-2</v>
      </c>
      <c r="C43" s="11">
        <v>0.61730699413081191</v>
      </c>
      <c r="D43" s="9"/>
      <c r="E43" s="12">
        <v>1.6</v>
      </c>
      <c r="F43" s="10">
        <v>6.7432193578112389E-3</v>
      </c>
      <c r="G43" s="10">
        <v>6.6191001718821918E-3</v>
      </c>
      <c r="H43" s="6"/>
      <c r="I43" s="12">
        <f t="shared" si="0"/>
        <v>1.6</v>
      </c>
      <c r="J43" s="10">
        <v>6.2774027908065648E-3</v>
      </c>
      <c r="K43" s="10">
        <v>6.1029669577225597E-3</v>
      </c>
    </row>
    <row r="44" spans="1:11" x14ac:dyDescent="0.3">
      <c r="A44" s="6">
        <v>16</v>
      </c>
      <c r="B44" s="10">
        <v>3.2891280522486195E-2</v>
      </c>
      <c r="C44" s="11">
        <v>0.59081018545919894</v>
      </c>
      <c r="D44" s="9"/>
      <c r="E44" s="12">
        <v>1.64</v>
      </c>
      <c r="F44" s="10">
        <v>6.9943154694435015E-3</v>
      </c>
      <c r="G44" s="10">
        <v>6.8666712301334908E-3</v>
      </c>
      <c r="H44" s="6"/>
      <c r="I44" s="12">
        <f t="shared" si="0"/>
        <v>1.64</v>
      </c>
      <c r="J44" s="10">
        <v>6.4505738924129207E-3</v>
      </c>
      <c r="K44" s="10">
        <v>6.2756471985812336E-3</v>
      </c>
    </row>
    <row r="45" spans="1:11" x14ac:dyDescent="0.3">
      <c r="A45" s="6">
        <v>17</v>
      </c>
      <c r="B45" s="10">
        <v>3.3540066632786067E-2</v>
      </c>
      <c r="C45" s="11">
        <v>0.5654230127940898</v>
      </c>
      <c r="D45" s="9"/>
      <c r="E45" s="12">
        <v>1.68</v>
      </c>
      <c r="F45" s="10">
        <v>7.2523384251400183E-3</v>
      </c>
      <c r="G45" s="10">
        <v>7.1211569631383746E-3</v>
      </c>
      <c r="H45" s="6"/>
      <c r="I45" s="12">
        <f t="shared" si="0"/>
        <v>1.68</v>
      </c>
      <c r="J45" s="10">
        <v>6.6241444352347321E-3</v>
      </c>
      <c r="K45" s="10">
        <v>6.4487036096784224E-3</v>
      </c>
    </row>
    <row r="46" spans="1:11" x14ac:dyDescent="0.3">
      <c r="A46" s="6">
        <v>18</v>
      </c>
      <c r="B46" s="10">
        <v>3.4122337196310575E-2</v>
      </c>
      <c r="C46" s="11">
        <v>0.54107246130800224</v>
      </c>
      <c r="D46" s="9"/>
      <c r="E46" s="12">
        <v>1.72</v>
      </c>
      <c r="F46" s="10">
        <v>7.5173042025494076E-3</v>
      </c>
      <c r="G46" s="10">
        <v>7.3825727709331589E-3</v>
      </c>
      <c r="H46" s="6"/>
      <c r="I46" s="12">
        <f t="shared" si="0"/>
        <v>1.72</v>
      </c>
      <c r="J46" s="10">
        <v>6.798132866918773E-3</v>
      </c>
      <c r="K46" s="10">
        <v>6.6221539403804562E-3</v>
      </c>
    </row>
    <row r="47" spans="1:11" x14ac:dyDescent="0.3">
      <c r="A47" s="6">
        <v>19</v>
      </c>
      <c r="B47" s="10">
        <v>3.4651964880200371E-2</v>
      </c>
      <c r="C47" s="11">
        <v>0.51768551617345326</v>
      </c>
      <c r="D47" s="9"/>
      <c r="E47" s="12">
        <v>1.76</v>
      </c>
      <c r="F47" s="10">
        <v>7.7892295172261585E-3</v>
      </c>
      <c r="G47" s="10">
        <v>7.6509347741303205E-3</v>
      </c>
      <c r="H47" s="6"/>
      <c r="I47" s="12">
        <f t="shared" si="0"/>
        <v>1.76</v>
      </c>
      <c r="J47" s="10">
        <v>6.9725581746917431E-3</v>
      </c>
      <c r="K47" s="10">
        <v>6.7960164710937935E-3</v>
      </c>
    </row>
    <row r="48" spans="1:11" x14ac:dyDescent="0.3">
      <c r="A48" s="6">
        <v>20</v>
      </c>
      <c r="B48" s="10">
        <v>3.5140772141050915E-2</v>
      </c>
      <c r="C48" s="11">
        <v>0.49518916256296092</v>
      </c>
      <c r="D48" s="9"/>
      <c r="E48" s="12">
        <v>1.8</v>
      </c>
      <c r="F48" s="10">
        <v>8.0681318442138283E-3</v>
      </c>
      <c r="G48" s="10">
        <v>7.9262598352778709E-3</v>
      </c>
      <c r="H48" s="6"/>
      <c r="I48" s="12">
        <f t="shared" si="0"/>
        <v>1.8</v>
      </c>
      <c r="J48" s="10">
        <v>7.1474398912348656E-3</v>
      </c>
      <c r="K48" s="10">
        <v>6.9703100192038256E-3</v>
      </c>
    </row>
    <row r="49" spans="1:11" x14ac:dyDescent="0.3">
      <c r="A49" s="6">
        <v>21</v>
      </c>
      <c r="B49" s="10">
        <v>3.5599115847983254E-2</v>
      </c>
      <c r="C49" s="11">
        <v>0.47351038564904313</v>
      </c>
      <c r="D49" s="9"/>
      <c r="E49" s="12">
        <v>1.84</v>
      </c>
      <c r="F49" s="10">
        <v>8.3540294398632229E-3</v>
      </c>
      <c r="G49" s="10">
        <v>8.2085655804623667E-3</v>
      </c>
      <c r="H49" s="6"/>
      <c r="I49" s="12">
        <f t="shared" si="0"/>
        <v>1.84</v>
      </c>
      <c r="J49" s="10">
        <v>7.3227981008080253E-3</v>
      </c>
      <c r="K49" s="10">
        <v>7.1450539453191079E-3</v>
      </c>
    </row>
    <row r="50" spans="1:11" x14ac:dyDescent="0.3">
      <c r="A50" s="6">
        <v>22</v>
      </c>
      <c r="B50" s="10">
        <v>3.6036327144615452E-2</v>
      </c>
      <c r="C50" s="11">
        <v>0.45257617060421612</v>
      </c>
      <c r="D50" s="9"/>
      <c r="E50" s="12">
        <v>1.88</v>
      </c>
      <c r="F50" s="10">
        <v>8.6469413638955439E-3</v>
      </c>
      <c r="G50" s="10">
        <v>8.4978704211679731E-3</v>
      </c>
      <c r="H50" s="6"/>
      <c r="I50" s="12">
        <f t="shared" si="0"/>
        <v>1.88</v>
      </c>
      <c r="J50" s="10">
        <v>7.4986534485025225E-3</v>
      </c>
      <c r="K50" s="10">
        <v>7.3202681598317559E-3</v>
      </c>
    </row>
    <row r="51" spans="1:11" x14ac:dyDescent="0.3">
      <c r="A51" s="6">
        <v>23</v>
      </c>
      <c r="B51" s="10">
        <v>3.6461054498522244E-2</v>
      </c>
      <c r="C51" s="11">
        <v>0.43231350260099771</v>
      </c>
      <c r="D51" s="9"/>
      <c r="E51" s="12">
        <v>1.92</v>
      </c>
      <c r="F51" s="10">
        <v>8.9468875018356448E-3</v>
      </c>
      <c r="G51" s="10">
        <v>8.7941935764044472E-3</v>
      </c>
      <c r="H51" s="6"/>
      <c r="I51" s="12">
        <f t="shared" si="0"/>
        <v>1.92</v>
      </c>
      <c r="J51" s="10">
        <v>7.6750271452235685E-3</v>
      </c>
      <c r="K51" s="10">
        <v>7.4959731298050343E-3</v>
      </c>
    </row>
    <row r="52" spans="1:11" x14ac:dyDescent="0.3">
      <c r="A52" s="6">
        <v>24</v>
      </c>
      <c r="B52" s="10">
        <v>3.6881543224503786E-2</v>
      </c>
      <c r="C52" s="11">
        <v>0.41264936681190223</v>
      </c>
      <c r="D52" s="9"/>
      <c r="E52" s="12">
        <v>1.96</v>
      </c>
      <c r="F52" s="10">
        <v>9.2538885876445875E-3</v>
      </c>
      <c r="G52" s="10">
        <v>9.0975550951173552E-3</v>
      </c>
      <c r="H52" s="6"/>
      <c r="I52" s="12">
        <f t="shared" si="0"/>
        <v>1.96</v>
      </c>
      <c r="J52" s="10">
        <v>7.8161125631141543E-3</v>
      </c>
      <c r="K52" s="10">
        <v>7.6721898861994691E-3</v>
      </c>
    </row>
  </sheetData>
  <mergeCells count="3">
    <mergeCell ref="A1:C1"/>
    <mergeCell ref="E1:G1"/>
    <mergeCell ref="I1:K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EE67-8722-4DB7-A164-FCF3488C5600}">
  <sheetPr codeName="工作表1"/>
  <dimension ref="B1:M21"/>
  <sheetViews>
    <sheetView tabSelected="1" topLeftCell="B1" workbookViewId="0">
      <selection activeCell="G10" sqref="G10"/>
    </sheetView>
  </sheetViews>
  <sheetFormatPr defaultRowHeight="16.2" x14ac:dyDescent="0.3"/>
  <cols>
    <col min="3" max="3" width="10.44140625" customWidth="1"/>
    <col min="7" max="7" width="10.44140625" customWidth="1"/>
  </cols>
  <sheetData>
    <row r="1" spans="2:13" x14ac:dyDescent="0.3">
      <c r="B1" s="6" t="s">
        <v>7</v>
      </c>
      <c r="C1" s="19">
        <f>data!B3</f>
        <v>2.2766685734735719E-3</v>
      </c>
      <c r="D1" s="6"/>
      <c r="E1" s="6"/>
      <c r="F1" s="6"/>
      <c r="G1" s="6"/>
      <c r="H1" s="6"/>
      <c r="I1" s="6"/>
      <c r="J1" s="14"/>
    </row>
    <row r="2" spans="2:13" x14ac:dyDescent="0.3">
      <c r="B2" s="6" t="s">
        <v>8</v>
      </c>
      <c r="C2" s="6">
        <v>0.1</v>
      </c>
      <c r="D2" s="6"/>
      <c r="E2" s="6"/>
      <c r="F2" s="6"/>
      <c r="G2" s="6"/>
      <c r="H2" s="6"/>
      <c r="I2" s="6"/>
      <c r="J2" s="14"/>
    </row>
    <row r="3" spans="2:13" x14ac:dyDescent="0.3">
      <c r="B3" s="6" t="s">
        <v>9</v>
      </c>
      <c r="C3" s="6">
        <v>0.01</v>
      </c>
      <c r="D3" s="6"/>
      <c r="E3" s="6"/>
      <c r="F3" s="6"/>
      <c r="G3" s="6"/>
      <c r="H3" s="6"/>
      <c r="I3" s="6"/>
      <c r="J3" s="13"/>
    </row>
    <row r="4" spans="2:13" x14ac:dyDescent="0.3">
      <c r="B4" s="6" t="s">
        <v>10</v>
      </c>
      <c r="C4" s="6">
        <v>1000</v>
      </c>
      <c r="D4" s="6"/>
      <c r="E4" s="6"/>
      <c r="F4" s="6"/>
      <c r="G4" s="6"/>
      <c r="H4" s="6"/>
      <c r="I4" s="6"/>
      <c r="J4" s="14"/>
      <c r="K4" s="4"/>
      <c r="L4" s="2"/>
      <c r="M4" s="1"/>
    </row>
    <row r="5" spans="2:13" x14ac:dyDescent="0.3">
      <c r="B5" s="6" t="s">
        <v>11</v>
      </c>
      <c r="C5" s="6">
        <v>0</v>
      </c>
      <c r="D5" s="6"/>
      <c r="E5" s="6"/>
      <c r="F5" s="6"/>
      <c r="G5" s="6"/>
      <c r="H5" s="6"/>
      <c r="I5" s="6"/>
      <c r="J5" s="6"/>
    </row>
    <row r="6" spans="2:13" x14ac:dyDescent="0.3">
      <c r="B6" s="6" t="s">
        <v>12</v>
      </c>
      <c r="C6" s="6">
        <v>10</v>
      </c>
      <c r="D6" s="6"/>
      <c r="E6" s="6"/>
      <c r="F6" s="6"/>
      <c r="G6" s="6"/>
      <c r="H6" s="6"/>
      <c r="I6" s="6"/>
      <c r="J6" s="6"/>
      <c r="K6" s="3"/>
      <c r="L6" s="3"/>
      <c r="M6" s="3"/>
    </row>
    <row r="7" spans="2:13" x14ac:dyDescent="0.3">
      <c r="B7" s="6"/>
      <c r="C7" s="6"/>
      <c r="D7" s="6"/>
      <c r="E7" s="6"/>
      <c r="F7" s="6"/>
      <c r="G7" s="6" t="s">
        <v>13</v>
      </c>
      <c r="H7" s="6"/>
      <c r="I7" s="6"/>
      <c r="J7" s="6"/>
    </row>
    <row r="8" spans="2:13" x14ac:dyDescent="0.3">
      <c r="B8" s="16" t="s">
        <v>14</v>
      </c>
      <c r="C8" s="17"/>
      <c r="D8" s="17"/>
      <c r="E8" s="17"/>
      <c r="F8" s="17"/>
      <c r="G8" s="15">
        <v>1</v>
      </c>
      <c r="H8" s="6"/>
      <c r="I8" s="6"/>
      <c r="J8" s="6"/>
    </row>
    <row r="9" spans="2:13" x14ac:dyDescent="0.3">
      <c r="B9" s="16" t="s">
        <v>15</v>
      </c>
      <c r="C9" s="17"/>
      <c r="D9" s="17"/>
      <c r="E9" s="17"/>
      <c r="F9" s="17"/>
      <c r="G9" s="15">
        <v>1</v>
      </c>
      <c r="H9" s="6"/>
      <c r="I9" s="6"/>
      <c r="J9" s="6"/>
    </row>
    <row r="10" spans="2:13" x14ac:dyDescent="0.3">
      <c r="B10" s="16" t="s">
        <v>16</v>
      </c>
      <c r="C10" s="17"/>
      <c r="D10" s="17"/>
      <c r="E10" s="17"/>
      <c r="F10" s="17"/>
      <c r="G10" s="15">
        <v>1</v>
      </c>
      <c r="H10" s="6"/>
      <c r="I10" s="6"/>
      <c r="J10" s="6"/>
    </row>
    <row r="11" spans="2:13" x14ac:dyDescent="0.3">
      <c r="B11" s="6"/>
      <c r="C11" s="6"/>
      <c r="D11" s="6"/>
      <c r="E11" s="6"/>
      <c r="F11" s="6"/>
      <c r="G11" s="6"/>
      <c r="H11" s="6"/>
      <c r="I11" s="6"/>
      <c r="J11" s="6"/>
    </row>
    <row r="12" spans="2:13" x14ac:dyDescent="0.3">
      <c r="B12" s="6"/>
      <c r="C12" s="6"/>
      <c r="D12" s="6"/>
      <c r="E12" s="6"/>
      <c r="F12" s="6"/>
      <c r="G12" s="6"/>
      <c r="H12" s="6"/>
      <c r="I12" s="6"/>
      <c r="J12" s="6"/>
    </row>
    <row r="13" spans="2:13" x14ac:dyDescent="0.3">
      <c r="B13" s="6"/>
      <c r="C13" s="6"/>
      <c r="D13" s="6"/>
      <c r="E13" s="6"/>
      <c r="F13" s="6"/>
      <c r="G13" s="6"/>
      <c r="H13" s="6"/>
      <c r="I13" s="6"/>
      <c r="J13" s="6"/>
    </row>
    <row r="14" spans="2:13" x14ac:dyDescent="0.3">
      <c r="B14" s="6"/>
      <c r="C14" s="6"/>
      <c r="D14" s="6"/>
      <c r="E14" s="6"/>
      <c r="F14" s="6"/>
      <c r="G14" s="6"/>
      <c r="H14" s="6"/>
      <c r="I14" s="6"/>
      <c r="J14" s="6"/>
    </row>
    <row r="15" spans="2:13" x14ac:dyDescent="0.3">
      <c r="B15" s="6"/>
      <c r="C15" s="6"/>
      <c r="D15" s="6"/>
      <c r="E15" s="6"/>
      <c r="F15" s="6"/>
      <c r="G15" s="6"/>
      <c r="H15" s="6"/>
      <c r="I15" s="6"/>
      <c r="J15" s="6"/>
    </row>
    <row r="16" spans="2:13" x14ac:dyDescent="0.3">
      <c r="B16" s="6"/>
      <c r="C16" s="6"/>
      <c r="D16" s="6"/>
      <c r="E16" s="6"/>
      <c r="F16" s="6"/>
      <c r="G16" s="6"/>
      <c r="H16" s="6"/>
      <c r="I16" s="6"/>
      <c r="J16" s="6"/>
    </row>
    <row r="17" spans="2:10" x14ac:dyDescent="0.3">
      <c r="B17" s="6"/>
      <c r="C17" s="6"/>
      <c r="D17" s="6"/>
      <c r="E17" s="6"/>
      <c r="F17" s="6"/>
      <c r="G17" s="6"/>
      <c r="H17" s="6"/>
      <c r="I17" s="6"/>
      <c r="J17" s="6"/>
    </row>
    <row r="18" spans="2:10" x14ac:dyDescent="0.3">
      <c r="B18" s="6"/>
      <c r="C18" s="6"/>
      <c r="D18" s="6"/>
      <c r="E18" s="6"/>
      <c r="F18" s="6"/>
      <c r="G18" s="6"/>
      <c r="H18" s="6"/>
      <c r="I18" s="6"/>
      <c r="J18" s="6"/>
    </row>
    <row r="19" spans="2:10" x14ac:dyDescent="0.3">
      <c r="B19" s="6"/>
      <c r="C19" s="6"/>
      <c r="D19" s="6"/>
      <c r="E19" s="6"/>
      <c r="F19" s="6"/>
      <c r="G19" s="6"/>
      <c r="H19" s="6"/>
      <c r="I19" s="6"/>
      <c r="J19" s="6"/>
    </row>
    <row r="20" spans="2:10" x14ac:dyDescent="0.3">
      <c r="B20" s="6"/>
      <c r="C20" s="6"/>
      <c r="D20" s="6"/>
      <c r="E20" s="6"/>
      <c r="F20" s="6"/>
      <c r="G20" s="6"/>
      <c r="H20" s="6"/>
      <c r="I20" s="6"/>
      <c r="J20" s="6"/>
    </row>
    <row r="21" spans="2:10" x14ac:dyDescent="0.3">
      <c r="B21" s="6"/>
      <c r="C21" s="6"/>
      <c r="D21" s="6"/>
      <c r="E21" s="6"/>
      <c r="F21" s="6"/>
      <c r="G21" s="6"/>
      <c r="H21" s="6"/>
      <c r="I21" s="6"/>
      <c r="J21" s="6"/>
    </row>
  </sheetData>
  <mergeCells count="3">
    <mergeCell ref="B8:F8"/>
    <mergeCell ref="B9:F9"/>
    <mergeCell ref="B10:F10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un_HW">
                <anchor moveWithCells="1" sizeWithCells="1">
                  <from>
                    <xdr:col>4</xdr:col>
                    <xdr:colOff>7620</xdr:colOff>
                    <xdr:row>2</xdr:row>
                    <xdr:rowOff>0</xdr:rowOff>
                  </from>
                  <to>
                    <xdr:col>6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hw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2020-05-09T14:49:04Z</dcterms:created>
  <dcterms:modified xsi:type="dcterms:W3CDTF">2020-05-12T07:46:55Z</dcterms:modified>
</cp:coreProperties>
</file>