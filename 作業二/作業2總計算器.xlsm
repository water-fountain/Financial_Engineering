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84" yWindow="48" windowWidth="11496" windowHeight="5352"/>
  </bookViews>
  <sheets>
    <sheet name="全體計算器" sheetId="1" r:id="rId1"/>
    <sheet name="自輸ytm計算器" sheetId="5" r:id="rId2"/>
    <sheet name="自輸spotrate計算器" sheetId="6" r:id="rId3"/>
  </sheets>
  <calcPr calcId="144525"/>
</workbook>
</file>

<file path=xl/calcChain.xml><?xml version="1.0" encoding="utf-8"?>
<calcChain xmlns="http://schemas.openxmlformats.org/spreadsheetml/2006/main">
  <c r="I17" i="1" l="1"/>
  <c r="I16" i="1"/>
  <c r="I15" i="1"/>
  <c r="I14" i="1"/>
  <c r="I13" i="1"/>
  <c r="E9" i="1"/>
  <c r="A17" i="1" s="1"/>
  <c r="F17" i="1" s="1"/>
  <c r="E8" i="1"/>
  <c r="A16" i="1" s="1"/>
  <c r="F16" i="1" s="1"/>
  <c r="E7" i="1"/>
  <c r="E6" i="1"/>
  <c r="A14" i="1" s="1"/>
  <c r="E5" i="1"/>
  <c r="A13" i="1" s="1"/>
  <c r="C21" i="6"/>
  <c r="G15" i="5"/>
  <c r="H15" i="5" s="1"/>
  <c r="C17" i="5"/>
  <c r="G14" i="5"/>
  <c r="G17" i="5"/>
  <c r="H17" i="5" s="1"/>
  <c r="F17" i="5"/>
  <c r="I17" i="5" s="1"/>
  <c r="A15" i="1"/>
  <c r="F15" i="1" s="1"/>
  <c r="C15" i="1"/>
  <c r="C17" i="1" s="1"/>
  <c r="G17" i="1" s="1"/>
  <c r="H17" i="1" s="1"/>
  <c r="B10" i="1"/>
  <c r="G14" i="1"/>
  <c r="G13" i="1"/>
  <c r="H13" i="1" s="1"/>
  <c r="H14" i="1"/>
  <c r="G9" i="1"/>
  <c r="G8" i="1"/>
  <c r="G5" i="1"/>
  <c r="G7" i="1"/>
  <c r="G6" i="1"/>
  <c r="F3" i="1"/>
  <c r="A5" i="1" s="1"/>
  <c r="G3" i="1"/>
  <c r="K3" i="1" s="1"/>
  <c r="I3" i="1"/>
  <c r="H3" i="1"/>
  <c r="H14" i="5" l="1"/>
  <c r="G13" i="5"/>
  <c r="H13" i="5" s="1"/>
  <c r="F15" i="5"/>
  <c r="I15" i="5" s="1"/>
  <c r="C16" i="5"/>
  <c r="G16" i="5" s="1"/>
  <c r="F16" i="5"/>
  <c r="I16" i="5" s="1"/>
  <c r="E14" i="1"/>
  <c r="J14" i="1" s="1"/>
  <c r="F14" i="1"/>
  <c r="B14" i="1" s="1"/>
  <c r="F13" i="1"/>
  <c r="B13" i="1" s="1"/>
  <c r="E13" i="1"/>
  <c r="C16" i="1"/>
  <c r="G16" i="1" s="1"/>
  <c r="H16" i="1" s="1"/>
  <c r="G15" i="1"/>
  <c r="H15" i="1" s="1"/>
  <c r="B17" i="1"/>
  <c r="J13" i="1" l="1"/>
  <c r="C21" i="1"/>
  <c r="E22" i="6"/>
  <c r="E23" i="6"/>
  <c r="E21" i="6"/>
  <c r="F24" i="6"/>
  <c r="F21" i="6"/>
  <c r="F22" i="6"/>
  <c r="F23" i="6"/>
  <c r="D21" i="6"/>
  <c r="D22" i="6"/>
  <c r="F13" i="5"/>
  <c r="I13" i="5" s="1"/>
  <c r="B13" i="5" s="1"/>
  <c r="E13" i="5"/>
  <c r="J13" i="5" s="1"/>
  <c r="F14" i="5"/>
  <c r="I14" i="5" s="1"/>
  <c r="B14" i="5" s="1"/>
  <c r="E14" i="5"/>
  <c r="B15" i="5"/>
  <c r="B17" i="5"/>
  <c r="H16" i="5"/>
  <c r="B16" i="5" s="1"/>
  <c r="E17" i="1"/>
  <c r="B15" i="1"/>
  <c r="E15" i="1" s="1"/>
  <c r="B16" i="1"/>
  <c r="E16" i="1" s="1"/>
  <c r="B5" i="1"/>
  <c r="J3" i="1"/>
  <c r="J6" i="1" s="1"/>
  <c r="J16" i="1" l="1"/>
  <c r="E23" i="1"/>
  <c r="E21" i="1"/>
  <c r="E22" i="1"/>
  <c r="J15" i="1"/>
  <c r="D22" i="1"/>
  <c r="D21" i="1"/>
  <c r="J17" i="1"/>
  <c r="F22" i="1"/>
  <c r="F21" i="1"/>
  <c r="F24" i="1"/>
  <c r="F23" i="1"/>
  <c r="E16" i="5"/>
  <c r="E22" i="5" s="1"/>
  <c r="E17" i="5"/>
  <c r="C21" i="5"/>
  <c r="J14" i="5"/>
  <c r="E15" i="5"/>
  <c r="J5" i="1"/>
  <c r="J8" i="1"/>
  <c r="J9" i="1"/>
  <c r="J7" i="1"/>
  <c r="E23" i="5" l="1"/>
  <c r="J16" i="5"/>
  <c r="E21" i="5"/>
  <c r="F24" i="5"/>
  <c r="F22" i="5"/>
  <c r="F23" i="5"/>
  <c r="F21" i="5"/>
  <c r="J17" i="5"/>
  <c r="D21" i="5"/>
  <c r="J15" i="5"/>
  <c r="D22" i="5"/>
</calcChain>
</file>

<file path=xl/sharedStrings.xml><?xml version="1.0" encoding="utf-8"?>
<sst xmlns="http://schemas.openxmlformats.org/spreadsheetml/2006/main" count="124" uniqueCount="39">
  <si>
    <t>ytm</t>
    <phoneticPr fontId="3" type="noConversion"/>
  </si>
  <si>
    <t>面額</t>
    <phoneticPr fontId="3" type="noConversion"/>
  </si>
  <si>
    <t>價格</t>
    <phoneticPr fontId="3" type="noConversion"/>
  </si>
  <si>
    <t>票面年利率</t>
    <phoneticPr fontId="3" type="noConversion"/>
  </si>
  <si>
    <t>幾年後到期</t>
    <phoneticPr fontId="3" type="noConversion"/>
  </si>
  <si>
    <t>一年複利幾次</t>
    <phoneticPr fontId="3" type="noConversion"/>
  </si>
  <si>
    <t>nper</t>
    <phoneticPr fontId="3" type="noConversion"/>
  </si>
  <si>
    <t>pmt</t>
    <phoneticPr fontId="3" type="noConversion"/>
  </si>
  <si>
    <t>pv</t>
    <phoneticPr fontId="3" type="noConversion"/>
  </si>
  <si>
    <t>fv</t>
    <phoneticPr fontId="3" type="noConversion"/>
  </si>
  <si>
    <t>其他nper</t>
    <phoneticPr fontId="3" type="noConversion"/>
  </si>
  <si>
    <t>spot rate</t>
    <phoneticPr fontId="3" type="noConversion"/>
  </si>
  <si>
    <t>PMT+A3</t>
    <phoneticPr fontId="3" type="noConversion"/>
  </si>
  <si>
    <t>(半年計息)</t>
    <phoneticPr fontId="3" type="noConversion"/>
  </si>
  <si>
    <t>1+YTM/2</t>
    <phoneticPr fontId="3" type="noConversion"/>
  </si>
  <si>
    <t>若一年內到期，ytm=spot rate</t>
    <phoneticPr fontId="3" type="noConversion"/>
  </si>
  <si>
    <t>票面利率(%)</t>
    <phoneticPr fontId="3" type="noConversion"/>
  </si>
  <si>
    <t>到期時間(期)</t>
    <phoneticPr fontId="3" type="noConversion"/>
  </si>
  <si>
    <t>(半年一期)</t>
    <phoneticPr fontId="3" type="noConversion"/>
  </si>
  <si>
    <t>YTM/2</t>
    <phoneticPr fontId="3" type="noConversion"/>
  </si>
  <si>
    <t>PMT</t>
    <phoneticPr fontId="3" type="noConversion"/>
  </si>
  <si>
    <t>FV+PMT</t>
    <phoneticPr fontId="3" type="noConversion"/>
  </si>
  <si>
    <t>1+spotrate/2</t>
    <phoneticPr fontId="3" type="noConversion"/>
  </si>
  <si>
    <t>FORWARD RATE</t>
    <phoneticPr fontId="3" type="noConversion"/>
  </si>
  <si>
    <t>X</t>
    <phoneticPr fontId="3" type="noConversion"/>
  </si>
  <si>
    <t>年份</t>
    <phoneticPr fontId="3" type="noConversion"/>
  </si>
  <si>
    <t>同YTM(B5)，不同到期年份的其他價格</t>
    <phoneticPr fontId="3" type="noConversion"/>
  </si>
  <si>
    <t>同價格不同期的YTM</t>
    <phoneticPr fontId="3" type="noConversion"/>
  </si>
  <si>
    <t>期數</t>
    <phoneticPr fontId="3" type="noConversion"/>
  </si>
  <si>
    <t>1期</t>
    <phoneticPr fontId="3" type="noConversion"/>
  </si>
  <si>
    <t>2期</t>
    <phoneticPr fontId="3" type="noConversion"/>
  </si>
  <si>
    <t>3期</t>
    <phoneticPr fontId="3" type="noConversion"/>
  </si>
  <si>
    <t>4期</t>
    <phoneticPr fontId="3" type="noConversion"/>
  </si>
  <si>
    <t>ytm(期)</t>
    <phoneticPr fontId="3" type="noConversion"/>
  </si>
  <si>
    <t>ytm(年)(=ytm期*2)</t>
    <phoneticPr fontId="3" type="noConversion"/>
  </si>
  <si>
    <t>已知YTM(期)</t>
    <phoneticPr fontId="3" type="noConversion"/>
  </si>
  <si>
    <t>spot rate(期)</t>
    <phoneticPr fontId="3" type="noConversion"/>
  </si>
  <si>
    <t>已知YTM(年)</t>
    <phoneticPr fontId="3" type="noConversion"/>
  </si>
  <si>
    <t>spot rate(年)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</si>
</sst>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color theme="0" tint="-4.9989318521683403E-2"/>
      <name val="新細明體"/>
      <family val="2"/>
      <charset val="136"/>
      <scheme val="minor"/>
    </font>
    <font>
      <sz val="12"/>
      <color theme="0" tint="-4.9989318521683403E-2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9" fontId="0" fillId="0" borderId="0" xfId="1" applyFon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9" fontId="0" fillId="2" borderId="0" xfId="1" applyFont="1" applyFill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0" fontId="4" fillId="3" borderId="2" xfId="0" applyFon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0" borderId="0" xfId="0" applyFill="1">
      <alignment vertical="center"/>
    </xf>
    <xf numFmtId="0" fontId="7" fillId="0" borderId="0" xfId="0" applyFont="1">
      <alignment vertical="center"/>
    </xf>
    <xf numFmtId="10" fontId="0" fillId="2" borderId="0" xfId="1" applyNumberFormat="1" applyFont="1" applyFill="1">
      <alignment vertical="center"/>
    </xf>
    <xf numFmtId="10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0" fillId="0" borderId="0" xfId="1" applyNumberFormat="1" applyFont="1">
      <alignment vertical="center"/>
    </xf>
    <xf numFmtId="0" fontId="7" fillId="0" borderId="2" xfId="0" applyFont="1" applyBorder="1">
      <alignment vertical="center"/>
    </xf>
    <xf numFmtId="10" fontId="6" fillId="0" borderId="0" xfId="0" applyNumberFormat="1" applyFont="1">
      <alignment vertical="center"/>
    </xf>
    <xf numFmtId="10" fontId="0" fillId="0" borderId="0" xfId="1" applyNumberFormat="1" applyFont="1" applyFill="1">
      <alignment vertical="center"/>
    </xf>
    <xf numFmtId="10" fontId="0" fillId="0" borderId="0" xfId="0" applyNumberFormat="1" applyFill="1">
      <alignment vertical="center"/>
    </xf>
    <xf numFmtId="9" fontId="0" fillId="0" borderId="0" xfId="1" applyFont="1" applyFill="1">
      <alignment vertical="center"/>
    </xf>
    <xf numFmtId="0" fontId="0" fillId="0" borderId="0" xfId="0" applyFill="1" applyBorder="1">
      <alignment vertical="center"/>
    </xf>
    <xf numFmtId="0" fontId="5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9" fontId="0" fillId="0" borderId="0" xfId="1" applyFont="1" applyFill="1" applyBorder="1">
      <alignment vertical="center"/>
    </xf>
    <xf numFmtId="0" fontId="4" fillId="0" borderId="0" xfId="0" applyFont="1" applyFill="1" applyBorder="1">
      <alignment vertical="center"/>
    </xf>
    <xf numFmtId="10" fontId="6" fillId="0" borderId="0" xfId="0" applyNumberFormat="1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10" fontId="0" fillId="0" borderId="0" xfId="1" applyNumberFormat="1" applyFont="1" applyFill="1" applyBorder="1">
      <alignment vertical="center"/>
    </xf>
    <xf numFmtId="10" fontId="0" fillId="0" borderId="0" xfId="0" applyNumberFormat="1" applyFill="1" applyBorder="1">
      <alignment vertical="center"/>
    </xf>
    <xf numFmtId="10" fontId="0" fillId="2" borderId="1" xfId="0" applyNumberFormat="1" applyFill="1" applyBorder="1">
      <alignment vertical="center"/>
    </xf>
    <xf numFmtId="10" fontId="0" fillId="2" borderId="1" xfId="1" applyNumberFormat="1" applyFont="1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abSelected="1" workbookViewId="0">
      <selection activeCell="D3" sqref="D3"/>
    </sheetView>
  </sheetViews>
  <sheetFormatPr defaultRowHeight="16.2"/>
  <cols>
    <col min="1" max="1" width="13.21875" customWidth="1"/>
    <col min="2" max="2" width="9.5546875" customWidth="1"/>
    <col min="3" max="3" width="12.33203125" customWidth="1"/>
    <col min="4" max="4" width="14.77734375" customWidth="1"/>
    <col min="5" max="5" width="14.6640625" customWidth="1"/>
    <col min="10" max="10" width="11.21875" customWidth="1"/>
  </cols>
  <sheetData>
    <row r="1" spans="1:11">
      <c r="A1" t="s">
        <v>0</v>
      </c>
      <c r="B1" t="s">
        <v>13</v>
      </c>
    </row>
    <row r="2" spans="1:11">
      <c r="A2" t="s">
        <v>1</v>
      </c>
      <c r="B2" t="s">
        <v>2</v>
      </c>
      <c r="C2" t="s">
        <v>3</v>
      </c>
      <c r="D2" t="s">
        <v>4</v>
      </c>
      <c r="E2" s="9" t="s">
        <v>5</v>
      </c>
      <c r="F2" s="5" t="s">
        <v>6</v>
      </c>
      <c r="G2" s="6" t="s">
        <v>7</v>
      </c>
      <c r="H2" s="6" t="s">
        <v>8</v>
      </c>
      <c r="I2" s="6" t="s">
        <v>9</v>
      </c>
      <c r="J2" s="6" t="s">
        <v>14</v>
      </c>
      <c r="K2" s="6" t="s">
        <v>12</v>
      </c>
    </row>
    <row r="3" spans="1:11">
      <c r="A3" s="8">
        <v>1000</v>
      </c>
      <c r="B3" s="8">
        <v>950</v>
      </c>
      <c r="C3" s="7">
        <v>0.05</v>
      </c>
      <c r="D3" s="11">
        <v>1</v>
      </c>
      <c r="E3" s="10">
        <v>2</v>
      </c>
      <c r="F3" s="6">
        <f>D3*E3</f>
        <v>2</v>
      </c>
      <c r="G3" s="6">
        <f>A3*(C3/E3)</f>
        <v>25</v>
      </c>
      <c r="H3" s="6">
        <f>-B3</f>
        <v>-950</v>
      </c>
      <c r="I3" s="6">
        <f>A3</f>
        <v>1000</v>
      </c>
      <c r="J3" s="20">
        <f>1+(A5)</f>
        <v>1.0519651427936139</v>
      </c>
      <c r="K3" s="6">
        <f>G3+A3</f>
        <v>1025</v>
      </c>
    </row>
    <row r="4" spans="1:11">
      <c r="A4" t="s">
        <v>33</v>
      </c>
      <c r="B4" s="17" t="s">
        <v>34</v>
      </c>
      <c r="D4" s="12" t="s">
        <v>28</v>
      </c>
      <c r="E4" s="19" t="s">
        <v>27</v>
      </c>
      <c r="G4" s="5" t="s">
        <v>10</v>
      </c>
      <c r="H4" t="s">
        <v>25</v>
      </c>
      <c r="J4" t="s">
        <v>26</v>
      </c>
    </row>
    <row r="5" spans="1:11">
      <c r="A5" s="2">
        <f>RATE(F3,G3,H3,I3)</f>
        <v>5.1965142793613778E-2</v>
      </c>
      <c r="B5" s="2">
        <f>A5*2</f>
        <v>0.10393028558722756</v>
      </c>
      <c r="D5">
        <v>1</v>
      </c>
      <c r="E5" s="2">
        <f>RATE(D5,G3,H3,I3)</f>
        <v>7.8947368421052669E-2</v>
      </c>
      <c r="F5" s="3"/>
      <c r="G5" s="6">
        <f>H5*E3</f>
        <v>2</v>
      </c>
      <c r="H5">
        <v>1</v>
      </c>
      <c r="J5">
        <f>G3/J3+K3/J3^2</f>
        <v>949.99999999972113</v>
      </c>
    </row>
    <row r="6" spans="1:11">
      <c r="D6">
        <v>2</v>
      </c>
      <c r="E6" s="2">
        <f>RATE(D6,G3,H3,I3)</f>
        <v>5.1965142793613778E-2</v>
      </c>
      <c r="F6" s="3"/>
      <c r="G6" s="6">
        <f>H6*E3</f>
        <v>4</v>
      </c>
      <c r="H6">
        <v>2</v>
      </c>
      <c r="J6">
        <f>G3/J3+G3/J3^2+G3/J3^3+K3/J3^4</f>
        <v>904.81780712102181</v>
      </c>
    </row>
    <row r="7" spans="1:11">
      <c r="D7">
        <v>3</v>
      </c>
      <c r="E7" s="2">
        <f>RATE(D7,G3,H3,I3)</f>
        <v>4.3124369976157879E-2</v>
      </c>
      <c r="F7" s="3"/>
      <c r="G7" s="6">
        <f>H7*E3</f>
        <v>6</v>
      </c>
      <c r="H7">
        <v>3</v>
      </c>
      <c r="J7">
        <f>G3/J3+G3/J3^2+G3/J3^3+G3/J3^4+G3/J3^5+K3/J3^6</f>
        <v>863.98919605469007</v>
      </c>
    </row>
    <row r="8" spans="1:11">
      <c r="D8">
        <v>4</v>
      </c>
      <c r="E8" s="2">
        <f>RATE(D8,G3,H3,I3)</f>
        <v>3.8733408850305212E-2</v>
      </c>
      <c r="F8" s="3"/>
      <c r="G8" s="6">
        <f>H8*E3</f>
        <v>8</v>
      </c>
      <c r="H8">
        <v>4</v>
      </c>
      <c r="J8">
        <f>G3/J3+G3/J3^2+G3/J3^3+G3/J3^4+G3/J3^5+G3/J3^6+G3/J3^7+K3/J3^8</f>
        <v>827.09467245152757</v>
      </c>
    </row>
    <row r="9" spans="1:11">
      <c r="B9" t="s">
        <v>1</v>
      </c>
      <c r="D9">
        <v>5</v>
      </c>
      <c r="E9" s="2">
        <f>RATE(D9,G3,H3,I3)</f>
        <v>3.6108869362401735E-2</v>
      </c>
      <c r="F9" s="3"/>
      <c r="G9" s="6">
        <f>H9*E3</f>
        <v>10</v>
      </c>
      <c r="H9">
        <v>5</v>
      </c>
      <c r="J9">
        <f>G3/J3+G3/J3^2+G3/J3^3+G3/J3^4+G3/J3^5+G3/J3^6+G3/J3^7+G3/J3^8+G3/J3^9+K3/J3^10</f>
        <v>793.75516281959756</v>
      </c>
    </row>
    <row r="10" spans="1:11">
      <c r="A10" t="s">
        <v>11</v>
      </c>
      <c r="B10" s="13">
        <f>A3</f>
        <v>1000</v>
      </c>
      <c r="C10" t="s">
        <v>18</v>
      </c>
      <c r="D10" t="s">
        <v>15</v>
      </c>
    </row>
    <row r="11" spans="1:11">
      <c r="F11" s="4"/>
      <c r="G11" s="4"/>
      <c r="H11" s="4"/>
    </row>
    <row r="12" spans="1:11">
      <c r="A12" t="s">
        <v>35</v>
      </c>
      <c r="B12" t="s">
        <v>2</v>
      </c>
      <c r="C12" t="s">
        <v>16</v>
      </c>
      <c r="D12" t="s">
        <v>17</v>
      </c>
      <c r="E12" s="14" t="s">
        <v>36</v>
      </c>
      <c r="F12" s="5" t="s">
        <v>19</v>
      </c>
      <c r="G12" s="6" t="s">
        <v>20</v>
      </c>
      <c r="H12" s="6" t="s">
        <v>21</v>
      </c>
      <c r="I12" s="6" t="s">
        <v>14</v>
      </c>
      <c r="J12" s="6" t="s">
        <v>22</v>
      </c>
    </row>
    <row r="13" spans="1:11">
      <c r="A13" s="21">
        <f>E5</f>
        <v>7.8947368421052669E-2</v>
      </c>
      <c r="B13">
        <f>B10/I13</f>
        <v>926.82926829268285</v>
      </c>
      <c r="C13" s="1">
        <v>0</v>
      </c>
      <c r="D13">
        <v>1</v>
      </c>
      <c r="E13" s="3">
        <f>A13</f>
        <v>7.8947368421052669E-2</v>
      </c>
      <c r="F13" s="6">
        <f>A13/2</f>
        <v>3.9473684210526334E-2</v>
      </c>
      <c r="G13" s="6">
        <f>B10*C13/2</f>
        <v>0</v>
      </c>
      <c r="H13" s="6">
        <f>B10+G13</f>
        <v>1000</v>
      </c>
      <c r="I13" s="20">
        <f>1+A13</f>
        <v>1.0789473684210527</v>
      </c>
      <c r="J13" s="6">
        <f>1+E13/2</f>
        <v>1.0394736842105263</v>
      </c>
    </row>
    <row r="14" spans="1:11">
      <c r="A14" s="21">
        <f>E6</f>
        <v>5.1965142793613778E-2</v>
      </c>
      <c r="B14">
        <f>B10/I14^2</f>
        <v>903.64385756894535</v>
      </c>
      <c r="C14" s="1">
        <v>0</v>
      </c>
      <c r="D14">
        <v>2</v>
      </c>
      <c r="E14" s="3">
        <f>A14</f>
        <v>5.1965142793613778E-2</v>
      </c>
      <c r="F14" s="6">
        <f t="shared" ref="F14:F17" si="0">A14/2</f>
        <v>2.5982571396806889E-2</v>
      </c>
      <c r="G14" s="6">
        <f>B10*C14/2</f>
        <v>0</v>
      </c>
      <c r="H14" s="6">
        <f>B10+G14</f>
        <v>1000</v>
      </c>
      <c r="I14" s="20">
        <f>1+A14</f>
        <v>1.0519651427936139</v>
      </c>
      <c r="J14" s="6">
        <f>1+E14/2</f>
        <v>1.0259825713968069</v>
      </c>
    </row>
    <row r="15" spans="1:11">
      <c r="A15" s="22">
        <f>E7</f>
        <v>4.3124369976157879E-2</v>
      </c>
      <c r="B15">
        <f>G16/I15+G16/I15^2+H15/I15^3</f>
        <v>950</v>
      </c>
      <c r="C15" s="23">
        <f>C3</f>
        <v>0.05</v>
      </c>
      <c r="D15">
        <v>3</v>
      </c>
      <c r="E15" s="2">
        <f>((H15/(B15-(G15/I13)-(G15/I14^2)))^(1/3)-1)*2</f>
        <v>8.5340631593244343E-2</v>
      </c>
      <c r="F15" s="6">
        <f t="shared" si="0"/>
        <v>2.156218498807894E-2</v>
      </c>
      <c r="G15" s="6">
        <f>B10*C15/2</f>
        <v>25</v>
      </c>
      <c r="H15" s="6">
        <f>B10+G15</f>
        <v>1025</v>
      </c>
      <c r="I15" s="20">
        <f>1+A15</f>
        <v>1.0431243699761579</v>
      </c>
      <c r="J15" s="6">
        <f>1+E15/2</f>
        <v>1.0426703157966222</v>
      </c>
    </row>
    <row r="16" spans="1:11">
      <c r="A16" s="22">
        <f>E8</f>
        <v>3.8733408850305212E-2</v>
      </c>
      <c r="B16">
        <f>G16/I16+G16/I16^2+G16/I16^3+H16/I16^4</f>
        <v>949.99999999996237</v>
      </c>
      <c r="C16" s="1">
        <f>C15</f>
        <v>0.05</v>
      </c>
      <c r="D16">
        <v>4</v>
      </c>
      <c r="E16" s="3">
        <f>((H15/(B16-(G15/I13)-(G15/I14^2)-(G15/I15^3)))^(1/4)-1)*2</f>
        <v>7.6431823623942741E-2</v>
      </c>
      <c r="F16" s="6">
        <f t="shared" si="0"/>
        <v>1.9366704425152606E-2</v>
      </c>
      <c r="G16" s="6">
        <f>B10*C16/2</f>
        <v>25</v>
      </c>
      <c r="H16" s="6">
        <f>B10+G16</f>
        <v>1025</v>
      </c>
      <c r="I16" s="20">
        <f>1+A16</f>
        <v>1.0387334088503053</v>
      </c>
      <c r="J16" s="6">
        <f>1+E16/2</f>
        <v>1.0382159118119714</v>
      </c>
    </row>
    <row r="17" spans="1:10">
      <c r="A17" s="22">
        <f>E9</f>
        <v>3.6108869362401735E-2</v>
      </c>
      <c r="B17">
        <f>G16/I17+G16/I17^2+G16/I17^3+G16/I17^4+H17/I17^5</f>
        <v>949.99999999773831</v>
      </c>
      <c r="C17" s="1">
        <f>C15</f>
        <v>0.05</v>
      </c>
      <c r="D17">
        <v>5</v>
      </c>
      <c r="E17" s="2">
        <f>((H15/(B17-(G15/I13)-(G15/I14^2)-(G15/I15^3)-(G15/I16^4)))^(1/5)-1)*2</f>
        <v>7.1097713880218461E-2</v>
      </c>
      <c r="F17" s="6">
        <f t="shared" si="0"/>
        <v>1.8054434681200868E-2</v>
      </c>
      <c r="G17" s="6">
        <f>B10*C17/2</f>
        <v>25</v>
      </c>
      <c r="H17" s="6">
        <f>B10+G17</f>
        <v>1025</v>
      </c>
      <c r="I17" s="20">
        <f>1+A17</f>
        <v>1.0361088693624017</v>
      </c>
      <c r="J17" s="6">
        <f>1+E17/2</f>
        <v>1.0355488569401092</v>
      </c>
    </row>
    <row r="18" spans="1:10">
      <c r="C18" s="1"/>
    </row>
    <row r="19" spans="1:10">
      <c r="A19" t="s">
        <v>23</v>
      </c>
      <c r="C19" s="1"/>
    </row>
    <row r="20" spans="1:10">
      <c r="B20">
        <v>0</v>
      </c>
      <c r="C20" s="18" t="s">
        <v>29</v>
      </c>
      <c r="D20" t="s">
        <v>30</v>
      </c>
      <c r="E20" t="s">
        <v>31</v>
      </c>
      <c r="F20" t="s">
        <v>32</v>
      </c>
    </row>
    <row r="21" spans="1:10">
      <c r="A21">
        <v>0</v>
      </c>
      <c r="B21" t="s">
        <v>24</v>
      </c>
      <c r="C21" s="2">
        <f>((1+E14/2)^2/(1+E13/2)^1-1)*2</f>
        <v>2.5333113862286094E-2</v>
      </c>
      <c r="D21" s="2">
        <f>(((1+E15/2)^3/(1+E13/2))^(1/2)-1)*2</f>
        <v>8.8544632213050978E-2</v>
      </c>
      <c r="E21" s="2">
        <f>(((1+E16/2)^4/(1+E13/2))^(1/3)-1)*2</f>
        <v>7.559398528055894E-2</v>
      </c>
      <c r="F21" s="2">
        <f>(((1+E17/2)^5/(1+E13/2))^(1/4)-1)*2</f>
        <v>6.9139935653955931E-2</v>
      </c>
    </row>
    <row r="22" spans="1:10">
      <c r="A22">
        <v>1</v>
      </c>
      <c r="B22" t="s">
        <v>24</v>
      </c>
      <c r="C22" t="s">
        <v>24</v>
      </c>
      <c r="D22" s="2">
        <f>(((1+E15/2)^3/(1+E14/2)^2)^(1/1)-1)*2</f>
        <v>0.15372900926289157</v>
      </c>
      <c r="E22" s="3">
        <f>(((1+E16/2)^4/(1+E14/2)^2)^(1/2)-1)*2</f>
        <v>0.10119023381086212</v>
      </c>
      <c r="F22" s="3">
        <f>(((1+E17/2)^5/(1+E14/2)^2)^(1/3)-1)*2</f>
        <v>8.3951765881308038E-2</v>
      </c>
    </row>
    <row r="23" spans="1:10">
      <c r="A23">
        <v>2</v>
      </c>
      <c r="B23" t="s">
        <v>24</v>
      </c>
      <c r="C23" t="s">
        <v>24</v>
      </c>
      <c r="D23" t="s">
        <v>24</v>
      </c>
      <c r="E23" s="3">
        <f>(((1+E16/2)^4/(1+E15/2)^3)-1)*2</f>
        <v>4.9933106567185526E-2</v>
      </c>
      <c r="F23" s="3">
        <f>(((1+E17/2)^5/(1+E15/2)^3)^(1/2)-1)*2</f>
        <v>4.9915528394281594E-2</v>
      </c>
    </row>
    <row r="24" spans="1:10">
      <c r="A24">
        <v>3</v>
      </c>
      <c r="B24" t="s">
        <v>24</v>
      </c>
      <c r="C24" t="s">
        <v>24</v>
      </c>
      <c r="D24" t="s">
        <v>24</v>
      </c>
      <c r="E24" t="s">
        <v>24</v>
      </c>
      <c r="F24" s="2">
        <f>(((1+E17/2)^5/(1+E16/2)^4)-1)*2</f>
        <v>4.9897950372110866E-2</v>
      </c>
    </row>
    <row r="25" spans="1:10">
      <c r="A25">
        <v>4</v>
      </c>
      <c r="B25" t="s">
        <v>24</v>
      </c>
      <c r="C25" t="s">
        <v>24</v>
      </c>
      <c r="D25" t="s">
        <v>24</v>
      </c>
      <c r="E25" t="s">
        <v>24</v>
      </c>
      <c r="F25" t="s">
        <v>24</v>
      </c>
    </row>
    <row r="26" spans="1:10">
      <c r="A26">
        <v>5</v>
      </c>
      <c r="B26" t="s">
        <v>24</v>
      </c>
      <c r="C26" t="s">
        <v>24</v>
      </c>
      <c r="D26" t="s">
        <v>24</v>
      </c>
      <c r="E26" t="s">
        <v>24</v>
      </c>
      <c r="F26" t="s">
        <v>24</v>
      </c>
    </row>
  </sheetData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opLeftCell="A10" workbookViewId="0">
      <selection activeCell="C25" sqref="C25"/>
    </sheetView>
  </sheetViews>
  <sheetFormatPr defaultRowHeight="16.2"/>
  <cols>
    <col min="1" max="1" width="13.33203125" customWidth="1"/>
    <col min="2" max="2" width="9.5546875" customWidth="1"/>
    <col min="3" max="3" width="12.33203125" customWidth="1"/>
    <col min="4" max="4" width="14.77734375" customWidth="1"/>
    <col min="5" max="5" width="14.6640625" customWidth="1"/>
    <col min="10" max="10" width="11.21875" customWidth="1"/>
  </cols>
  <sheetData>
    <row r="1" spans="1:11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>
      <c r="A2" s="24"/>
      <c r="B2" s="24"/>
      <c r="C2" s="24"/>
      <c r="D2" s="24"/>
      <c r="E2" s="24"/>
      <c r="F2" s="25"/>
      <c r="G2" s="26"/>
      <c r="H2" s="26"/>
      <c r="I2" s="26"/>
      <c r="J2" s="26"/>
      <c r="K2" s="26"/>
    </row>
    <row r="3" spans="1:11">
      <c r="A3" s="24"/>
      <c r="B3" s="24"/>
      <c r="C3" s="27"/>
      <c r="D3" s="24"/>
      <c r="E3" s="28"/>
      <c r="F3" s="26"/>
      <c r="G3" s="26"/>
      <c r="H3" s="26"/>
      <c r="I3" s="26"/>
      <c r="J3" s="29"/>
      <c r="K3" s="26"/>
    </row>
    <row r="4" spans="1:11">
      <c r="A4" s="24"/>
      <c r="B4" s="30"/>
      <c r="C4" s="24"/>
      <c r="D4" s="24"/>
      <c r="E4" s="31"/>
      <c r="F4" s="24"/>
      <c r="G4" s="25"/>
      <c r="H4" s="24"/>
      <c r="I4" s="24"/>
      <c r="J4" s="24"/>
      <c r="K4" s="24"/>
    </row>
    <row r="5" spans="1:11">
      <c r="A5" s="32"/>
      <c r="B5" s="32"/>
      <c r="C5" s="24"/>
      <c r="D5" s="24"/>
      <c r="E5" s="32"/>
      <c r="F5" s="33"/>
      <c r="G5" s="26"/>
      <c r="H5" s="24"/>
      <c r="I5" s="24"/>
      <c r="J5" s="24"/>
      <c r="K5" s="24"/>
    </row>
    <row r="6" spans="1:11">
      <c r="A6" s="24"/>
      <c r="B6" s="24"/>
      <c r="C6" s="24"/>
      <c r="D6" s="24"/>
      <c r="E6" s="32"/>
      <c r="F6" s="33"/>
      <c r="G6" s="26"/>
      <c r="H6" s="24"/>
      <c r="I6" s="24"/>
      <c r="J6" s="24"/>
      <c r="K6" s="24"/>
    </row>
    <row r="7" spans="1:11">
      <c r="A7" s="24"/>
      <c r="B7" s="24"/>
      <c r="C7" s="24"/>
      <c r="D7" s="24"/>
      <c r="E7" s="32"/>
      <c r="F7" s="33"/>
      <c r="G7" s="26"/>
      <c r="H7" s="24"/>
      <c r="I7" s="24"/>
      <c r="J7" s="24"/>
      <c r="K7" s="24"/>
    </row>
    <row r="8" spans="1:11">
      <c r="A8" s="24"/>
      <c r="B8" s="24"/>
      <c r="C8" s="24"/>
      <c r="D8" s="24"/>
      <c r="E8" s="32"/>
      <c r="F8" s="33"/>
      <c r="G8" s="26"/>
      <c r="H8" s="24"/>
      <c r="I8" s="24"/>
      <c r="J8" s="24"/>
      <c r="K8" s="24"/>
    </row>
    <row r="9" spans="1:11">
      <c r="A9" s="24"/>
      <c r="B9" s="24" t="s">
        <v>1</v>
      </c>
      <c r="C9" s="24"/>
      <c r="D9" s="24"/>
      <c r="E9" s="32"/>
      <c r="F9" s="33"/>
      <c r="G9" s="26"/>
      <c r="H9" s="24"/>
      <c r="I9" s="24"/>
      <c r="J9" s="24"/>
      <c r="K9" s="24"/>
    </row>
    <row r="10" spans="1:11">
      <c r="A10" t="s">
        <v>11</v>
      </c>
      <c r="B10" s="8">
        <v>100</v>
      </c>
      <c r="C10" t="s">
        <v>18</v>
      </c>
      <c r="D10" t="s">
        <v>15</v>
      </c>
    </row>
    <row r="11" spans="1:11">
      <c r="F11" s="4"/>
      <c r="G11" s="4"/>
      <c r="H11" s="4"/>
    </row>
    <row r="12" spans="1:11">
      <c r="A12" t="s">
        <v>37</v>
      </c>
      <c r="B12" t="s">
        <v>2</v>
      </c>
      <c r="C12" t="s">
        <v>16</v>
      </c>
      <c r="D12" t="s">
        <v>17</v>
      </c>
      <c r="E12" s="14" t="s">
        <v>38</v>
      </c>
      <c r="F12" s="5" t="s">
        <v>19</v>
      </c>
      <c r="G12" s="6" t="s">
        <v>20</v>
      </c>
      <c r="H12" s="6" t="s">
        <v>21</v>
      </c>
      <c r="I12" s="6" t="s">
        <v>14</v>
      </c>
      <c r="J12" s="6" t="s">
        <v>22</v>
      </c>
    </row>
    <row r="13" spans="1:11">
      <c r="A13" s="15">
        <v>0.01</v>
      </c>
      <c r="B13">
        <f>B10/I13</f>
        <v>99.50248756218906</v>
      </c>
      <c r="C13" s="1">
        <v>0</v>
      </c>
      <c r="D13">
        <v>1</v>
      </c>
      <c r="E13" s="3">
        <f>A13</f>
        <v>0.01</v>
      </c>
      <c r="F13" s="6">
        <f>A13/2</f>
        <v>5.0000000000000001E-3</v>
      </c>
      <c r="G13" s="6">
        <f>B10*C13/2</f>
        <v>0</v>
      </c>
      <c r="H13" s="6">
        <f>B10+G13</f>
        <v>100</v>
      </c>
      <c r="I13" s="6">
        <f>1+F13</f>
        <v>1.0049999999999999</v>
      </c>
      <c r="J13" s="6">
        <f>1+E13/2</f>
        <v>1.0049999999999999</v>
      </c>
    </row>
    <row r="14" spans="1:11">
      <c r="A14" s="15">
        <v>0.02</v>
      </c>
      <c r="B14">
        <f>B10/I14^2</f>
        <v>98.029604940692082</v>
      </c>
      <c r="C14" s="1">
        <v>0</v>
      </c>
      <c r="D14">
        <v>2</v>
      </c>
      <c r="E14" s="3">
        <f>A14</f>
        <v>0.02</v>
      </c>
      <c r="F14" s="6">
        <f t="shared" ref="F14:F17" si="0">A14/2</f>
        <v>0.01</v>
      </c>
      <c r="G14" s="6">
        <f>B10*C14/2</f>
        <v>0</v>
      </c>
      <c r="H14" s="6">
        <f>B10+G14</f>
        <v>100</v>
      </c>
      <c r="I14" s="6">
        <f>1+F14</f>
        <v>1.01</v>
      </c>
      <c r="J14" s="6">
        <f>1+E14/2</f>
        <v>1.01</v>
      </c>
    </row>
    <row r="15" spans="1:11">
      <c r="A15" s="16">
        <v>0.03</v>
      </c>
      <c r="B15">
        <f>G16/I15+G16/I15^2+H15/I15^3</f>
        <v>102.91220041726505</v>
      </c>
      <c r="C15" s="7">
        <v>0.05</v>
      </c>
      <c r="D15">
        <v>3</v>
      </c>
      <c r="E15" s="2">
        <f>((H15/(B15-(G15/I13)-(G15/I14^2)))^(1/3)-1)*2</f>
        <v>3.0335562218148038E-2</v>
      </c>
      <c r="F15" s="6">
        <f t="shared" si="0"/>
        <v>1.4999999999999999E-2</v>
      </c>
      <c r="G15" s="6">
        <f>B10*C15/2</f>
        <v>2.5</v>
      </c>
      <c r="H15" s="6">
        <f>B10+G15</f>
        <v>102.5</v>
      </c>
      <c r="I15" s="6">
        <f t="shared" ref="I15:I17" si="1">1+F15</f>
        <v>1.0149999999999999</v>
      </c>
      <c r="J15" s="6">
        <f>1+E15/2</f>
        <v>1.015167781109074</v>
      </c>
    </row>
    <row r="16" spans="1:11">
      <c r="A16" s="16">
        <v>0.04</v>
      </c>
      <c r="B16">
        <f>G16/I16+G16/I16^2+G16/I16^3+H16/I16^4</f>
        <v>101.90386434933714</v>
      </c>
      <c r="C16" s="1">
        <f>C15</f>
        <v>0.05</v>
      </c>
      <c r="D16">
        <v>4</v>
      </c>
      <c r="E16" s="3">
        <f>((H15/(B16-(G15/I13)-(G15/I14^2)-(G15/I15^3)))^(1/4)-1)*2</f>
        <v>4.0643494796928969E-2</v>
      </c>
      <c r="F16" s="6">
        <f t="shared" si="0"/>
        <v>0.02</v>
      </c>
      <c r="G16" s="6">
        <f>B10*C16/2</f>
        <v>2.5</v>
      </c>
      <c r="H16" s="6">
        <f>B10+G16</f>
        <v>102.5</v>
      </c>
      <c r="I16" s="6">
        <f t="shared" si="1"/>
        <v>1.02</v>
      </c>
      <c r="J16" s="6">
        <f>1+E16/2</f>
        <v>1.0203217473984645</v>
      </c>
    </row>
    <row r="17" spans="1:10">
      <c r="A17" s="16">
        <v>0.05</v>
      </c>
      <c r="B17">
        <f>G16/I17+G16/I17^2+G16/I17^3+G16/I17^4+H17/I17^5</f>
        <v>100.00000000000003</v>
      </c>
      <c r="C17" s="1">
        <f>C15</f>
        <v>0.05</v>
      </c>
      <c r="D17">
        <v>5</v>
      </c>
      <c r="E17" s="2">
        <f>((H15/(B17-(G15/I13)-(G15/I14^2)-(G15/I15^3)-(G15/I16^4)))^(1/5)-1)*2</f>
        <v>5.10596111603423E-2</v>
      </c>
      <c r="F17" s="6">
        <f t="shared" si="0"/>
        <v>2.5000000000000001E-2</v>
      </c>
      <c r="G17" s="6">
        <f>B10*C17/2</f>
        <v>2.5</v>
      </c>
      <c r="H17" s="6">
        <f>B10+G17</f>
        <v>102.5</v>
      </c>
      <c r="I17" s="6">
        <f t="shared" si="1"/>
        <v>1.0249999999999999</v>
      </c>
      <c r="J17" s="6">
        <f>1+E17/2</f>
        <v>1.0255298055801711</v>
      </c>
    </row>
    <row r="18" spans="1:10">
      <c r="C18" s="1"/>
    </row>
    <row r="19" spans="1:10">
      <c r="A19" t="s">
        <v>23</v>
      </c>
      <c r="C19" s="1"/>
    </row>
    <row r="20" spans="1:10">
      <c r="B20">
        <v>0</v>
      </c>
      <c r="C20" s="18" t="s">
        <v>29</v>
      </c>
      <c r="D20" t="s">
        <v>30</v>
      </c>
      <c r="E20" t="s">
        <v>31</v>
      </c>
      <c r="F20" t="s">
        <v>32</v>
      </c>
    </row>
    <row r="21" spans="1:10">
      <c r="A21">
        <v>0</v>
      </c>
      <c r="B21" t="s">
        <v>24</v>
      </c>
      <c r="C21" s="2">
        <f>((1+E14/2)^2/(1+E13/2)^1-1)*2</f>
        <v>3.0049751243781397E-2</v>
      </c>
      <c r="D21" s="2">
        <f>(((1+E15/2)^3/(1+E13/2))^(1/2)-1)*2</f>
        <v>4.0580365793718265E-2</v>
      </c>
      <c r="E21" s="2">
        <f>(((1+E16/2)^4/(1+E13/2))^(1/3)-1)*2</f>
        <v>5.0961460448628593E-2</v>
      </c>
      <c r="F21" s="2">
        <f>(((1+E17/2)^5/(1+E13/2))^(1/4)-1)*2</f>
        <v>6.1454905590072162E-2</v>
      </c>
    </row>
    <row r="22" spans="1:10">
      <c r="A22">
        <v>1</v>
      </c>
      <c r="B22" t="s">
        <v>24</v>
      </c>
      <c r="C22" t="s">
        <v>24</v>
      </c>
      <c r="D22" s="2">
        <f>(((1+E15/2)^3/(1+E14/2)^2)^(1/1)-1)*2</f>
        <v>5.1165606513644768E-2</v>
      </c>
      <c r="E22" s="3">
        <f>(((1+E16/2)^4/(1+E14/2)^2)^(1/2)-1)*2</f>
        <v>6.1497956859912772E-2</v>
      </c>
      <c r="F22" s="3">
        <f>(((1+E17/2)^5/(1+E14/2)^2)^(1/3)-1)*2</f>
        <v>7.2030886502765235E-2</v>
      </c>
    </row>
    <row r="23" spans="1:10">
      <c r="A23">
        <v>2</v>
      </c>
      <c r="B23" t="s">
        <v>24</v>
      </c>
      <c r="C23" t="s">
        <v>24</v>
      </c>
      <c r="D23" t="s">
        <v>24</v>
      </c>
      <c r="E23" s="3">
        <f>(((1+E16/2)^4/(1+E15/2)^3)-1)*2</f>
        <v>7.188235442427926E-2</v>
      </c>
      <c r="F23" s="3">
        <f>(((1+E17/2)^5/(1+E15/2)^3)^(1/2)-1)*2</f>
        <v>8.2542985817871006E-2</v>
      </c>
    </row>
    <row r="24" spans="1:10">
      <c r="A24">
        <v>3</v>
      </c>
      <c r="B24" t="s">
        <v>24</v>
      </c>
      <c r="C24" t="s">
        <v>24</v>
      </c>
      <c r="D24" t="s">
        <v>24</v>
      </c>
      <c r="E24" t="s">
        <v>24</v>
      </c>
      <c r="F24" s="2">
        <f>(((1+E17/2)^5/(1+E16/2)^4)-1)*2</f>
        <v>9.3258470259208082E-2</v>
      </c>
    </row>
    <row r="25" spans="1:10">
      <c r="A25">
        <v>4</v>
      </c>
      <c r="B25" t="s">
        <v>24</v>
      </c>
      <c r="C25" t="s">
        <v>24</v>
      </c>
      <c r="D25" t="s">
        <v>24</v>
      </c>
      <c r="E25" t="s">
        <v>24</v>
      </c>
      <c r="F25" t="s">
        <v>24</v>
      </c>
    </row>
    <row r="26" spans="1:10">
      <c r="A26">
        <v>5</v>
      </c>
      <c r="B26" t="s">
        <v>24</v>
      </c>
      <c r="C26" t="s">
        <v>24</v>
      </c>
      <c r="D26" t="s">
        <v>24</v>
      </c>
      <c r="E26" t="s">
        <v>24</v>
      </c>
      <c r="F26" t="s">
        <v>24</v>
      </c>
    </row>
  </sheetData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opLeftCell="A7" workbookViewId="0">
      <selection activeCell="I19" sqref="I19"/>
    </sheetView>
  </sheetViews>
  <sheetFormatPr defaultRowHeight="16.2"/>
  <cols>
    <col min="1" max="1" width="9.77734375" customWidth="1"/>
    <col min="2" max="2" width="9.5546875" customWidth="1"/>
    <col min="3" max="3" width="12.33203125" customWidth="1"/>
    <col min="4" max="4" width="14.77734375" customWidth="1"/>
    <col min="5" max="5" width="14.6640625" customWidth="1"/>
    <col min="10" max="10" width="11.21875" customWidth="1"/>
  </cols>
  <sheetData>
    <row r="1" spans="1:11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>
      <c r="A2" s="24"/>
      <c r="B2" s="24"/>
      <c r="C2" s="24"/>
      <c r="D2" s="24"/>
      <c r="E2" s="24"/>
      <c r="F2" s="25"/>
      <c r="G2" s="26"/>
      <c r="H2" s="26"/>
      <c r="I2" s="26"/>
      <c r="J2" s="26"/>
      <c r="K2" s="26"/>
    </row>
    <row r="3" spans="1:11">
      <c r="A3" s="24"/>
      <c r="B3" s="24"/>
      <c r="C3" s="27"/>
      <c r="D3" s="24"/>
      <c r="E3" s="28"/>
      <c r="F3" s="26"/>
      <c r="G3" s="26"/>
      <c r="H3" s="26"/>
      <c r="I3" s="26"/>
      <c r="J3" s="29"/>
      <c r="K3" s="26"/>
    </row>
    <row r="4" spans="1:11">
      <c r="A4" s="24"/>
      <c r="B4" s="30"/>
      <c r="C4" s="24"/>
      <c r="D4" s="24"/>
      <c r="E4" s="31"/>
      <c r="F4" s="24"/>
      <c r="G4" s="25"/>
      <c r="H4" s="24"/>
      <c r="I4" s="24"/>
      <c r="J4" s="24"/>
      <c r="K4" s="24"/>
    </row>
    <row r="5" spans="1:11">
      <c r="A5" s="32"/>
      <c r="B5" s="32"/>
      <c r="C5" s="24"/>
      <c r="D5" s="24"/>
      <c r="E5" s="32"/>
      <c r="F5" s="33"/>
      <c r="G5" s="26"/>
      <c r="H5" s="24"/>
      <c r="I5" s="24"/>
      <c r="J5" s="24"/>
      <c r="K5" s="24"/>
    </row>
    <row r="6" spans="1:11">
      <c r="A6" s="24"/>
      <c r="B6" s="24"/>
      <c r="C6" s="24"/>
      <c r="D6" s="24"/>
      <c r="E6" s="32"/>
      <c r="F6" s="33"/>
      <c r="G6" s="26"/>
      <c r="H6" s="24"/>
      <c r="I6" s="24"/>
      <c r="J6" s="24"/>
      <c r="K6" s="24"/>
    </row>
    <row r="7" spans="1:11">
      <c r="A7" s="24"/>
      <c r="B7" s="24"/>
      <c r="C7" s="24"/>
      <c r="D7" s="24"/>
      <c r="E7" s="32"/>
      <c r="F7" s="33"/>
      <c r="G7" s="26"/>
      <c r="H7" s="24"/>
      <c r="I7" s="24"/>
      <c r="J7" s="24"/>
      <c r="K7" s="24"/>
    </row>
    <row r="8" spans="1:11">
      <c r="A8" s="24"/>
      <c r="B8" s="24"/>
      <c r="C8" s="24"/>
      <c r="D8" s="24"/>
      <c r="E8" s="32"/>
      <c r="F8" s="33"/>
      <c r="G8" s="26"/>
      <c r="H8" s="24"/>
      <c r="I8" s="24"/>
      <c r="J8" s="24"/>
      <c r="K8" s="24"/>
    </row>
    <row r="9" spans="1:11">
      <c r="A9" s="24"/>
      <c r="B9" s="24"/>
      <c r="C9" s="24"/>
      <c r="D9" s="24"/>
      <c r="E9" s="32"/>
      <c r="F9" s="33"/>
      <c r="G9" s="26"/>
      <c r="H9" s="24"/>
      <c r="I9" s="24"/>
      <c r="J9" s="24"/>
      <c r="K9" s="24"/>
    </row>
    <row r="10" spans="1:11">
      <c r="A10" s="13"/>
      <c r="B10" s="13"/>
      <c r="C10" s="13"/>
      <c r="D10" s="13"/>
    </row>
    <row r="11" spans="1:11">
      <c r="A11" s="13"/>
      <c r="B11" s="13"/>
      <c r="C11" s="13"/>
      <c r="D11" s="13"/>
      <c r="F11" s="4"/>
      <c r="G11" s="4"/>
      <c r="H11" s="4"/>
    </row>
    <row r="12" spans="1:11">
      <c r="A12" s="13"/>
      <c r="B12" s="13"/>
      <c r="C12" s="13"/>
      <c r="D12" s="13"/>
      <c r="E12" s="14" t="s">
        <v>38</v>
      </c>
      <c r="F12" s="5"/>
      <c r="G12" s="6"/>
      <c r="H12" s="6"/>
      <c r="I12" s="6"/>
      <c r="J12" s="6"/>
    </row>
    <row r="13" spans="1:11">
      <c r="A13" s="21"/>
      <c r="B13" s="13"/>
      <c r="C13" s="23"/>
      <c r="D13" s="13"/>
      <c r="E13" s="34">
        <v>7.8947000000000003E-2</v>
      </c>
      <c r="F13" s="6"/>
      <c r="G13" s="6"/>
      <c r="H13" s="6"/>
      <c r="I13" s="6"/>
      <c r="J13" s="6"/>
    </row>
    <row r="14" spans="1:11">
      <c r="A14" s="21"/>
      <c r="B14" s="13"/>
      <c r="C14" s="23"/>
      <c r="D14" s="13"/>
      <c r="E14" s="34">
        <v>5.1900000000000002E-2</v>
      </c>
      <c r="F14" s="6"/>
      <c r="G14" s="6"/>
      <c r="H14" s="6"/>
      <c r="I14" s="6"/>
      <c r="J14" s="6"/>
    </row>
    <row r="15" spans="1:11">
      <c r="A15" s="22"/>
      <c r="B15" s="13"/>
      <c r="C15" s="23"/>
      <c r="D15" s="13"/>
      <c r="E15" s="35">
        <v>4.2599999999999999E-2</v>
      </c>
      <c r="F15" s="6"/>
      <c r="G15" s="6"/>
      <c r="H15" s="6"/>
      <c r="I15" s="6"/>
      <c r="J15" s="6"/>
    </row>
    <row r="16" spans="1:11">
      <c r="A16" s="22"/>
      <c r="B16" s="13"/>
      <c r="C16" s="23"/>
      <c r="D16" s="13"/>
      <c r="E16" s="34">
        <v>3.8199999999999998E-2</v>
      </c>
      <c r="F16" s="6"/>
      <c r="G16" s="6"/>
      <c r="H16" s="6"/>
      <c r="I16" s="6"/>
      <c r="J16" s="6"/>
    </row>
    <row r="17" spans="1:10">
      <c r="A17" s="22"/>
      <c r="B17" s="13"/>
      <c r="C17" s="23"/>
      <c r="D17" s="13"/>
      <c r="E17" s="35">
        <v>3.5499999999999997E-2</v>
      </c>
      <c r="F17" s="6"/>
      <c r="G17" s="6"/>
      <c r="H17" s="6"/>
      <c r="I17" s="6"/>
      <c r="J17" s="6"/>
    </row>
    <row r="18" spans="1:10">
      <c r="C18" s="1"/>
    </row>
    <row r="19" spans="1:10">
      <c r="A19" t="s">
        <v>23</v>
      </c>
      <c r="C19" s="1"/>
    </row>
    <row r="20" spans="1:10">
      <c r="B20">
        <v>0</v>
      </c>
      <c r="C20" s="18" t="s">
        <v>29</v>
      </c>
      <c r="D20" t="s">
        <v>30</v>
      </c>
      <c r="E20" t="s">
        <v>31</v>
      </c>
      <c r="F20" t="s">
        <v>32</v>
      </c>
    </row>
    <row r="21" spans="1:10">
      <c r="A21">
        <v>0</v>
      </c>
      <c r="B21" t="s">
        <v>24</v>
      </c>
      <c r="C21" s="2">
        <f>((1+E14/2)^2/(1+E13/2)^1-1)*2</f>
        <v>2.5204880162889687E-2</v>
      </c>
      <c r="D21" s="2">
        <f>(((1+E15/2)^3/(1+E13/2))^(1/2)-1)*2</f>
        <v>2.4665499496537624E-2</v>
      </c>
      <c r="E21" s="2">
        <f>(((1+E16/2)^4/(1+E13/2))^(1/3)-1)*2</f>
        <v>2.4795920287277173E-2</v>
      </c>
      <c r="F21" s="2">
        <f>(((1+E17/2)^5/(1+E13/2))^(1/4)-1)*2</f>
        <v>2.4780869923701765E-2</v>
      </c>
    </row>
    <row r="22" spans="1:10">
      <c r="A22">
        <v>1</v>
      </c>
      <c r="B22" t="s">
        <v>24</v>
      </c>
      <c r="C22" t="s">
        <v>24</v>
      </c>
      <c r="D22" s="2">
        <f>(((1+E15/2)^3/(1+E14/2)^2)^(1/1)-1)*2</f>
        <v>2.4126262485529182E-2</v>
      </c>
      <c r="E22" s="3">
        <f>(((1+E16/2)^4/(1+E14/2)^2)^(1/2)-1)*2</f>
        <v>2.4591471319264979E-2</v>
      </c>
      <c r="F22" s="3">
        <f>(((1+E17/2)^5/(1+E14/2)^2)^(1/3)-1)*2</f>
        <v>2.4639552905685314E-2</v>
      </c>
    </row>
    <row r="23" spans="1:10">
      <c r="A23">
        <v>2</v>
      </c>
      <c r="B23" t="s">
        <v>24</v>
      </c>
      <c r="C23" t="s">
        <v>24</v>
      </c>
      <c r="D23" t="s">
        <v>24</v>
      </c>
      <c r="E23" s="3">
        <f>(((1+E16/2)^4/(1+E15/2)^3)-1)*2</f>
        <v>2.5056787072842202E-2</v>
      </c>
      <c r="F23" s="3">
        <f>(((1+E17/2)^5/(1+E15/2)^3)^(1/2)-1)*2</f>
        <v>2.4896246924957399E-2</v>
      </c>
    </row>
    <row r="24" spans="1:10">
      <c r="A24">
        <v>3</v>
      </c>
      <c r="B24" t="s">
        <v>24</v>
      </c>
      <c r="C24" t="s">
        <v>24</v>
      </c>
      <c r="D24" t="s">
        <v>24</v>
      </c>
      <c r="E24" t="s">
        <v>24</v>
      </c>
      <c r="F24" s="2">
        <f>(((1+E17/2)^5/(1+E16/2)^4)-1)*2</f>
        <v>2.4735719504191511E-2</v>
      </c>
    </row>
    <row r="25" spans="1:10">
      <c r="A25">
        <v>4</v>
      </c>
      <c r="B25" t="s">
        <v>24</v>
      </c>
      <c r="C25" t="s">
        <v>24</v>
      </c>
      <c r="D25" t="s">
        <v>24</v>
      </c>
      <c r="E25" t="s">
        <v>24</v>
      </c>
      <c r="F25" t="s">
        <v>24</v>
      </c>
    </row>
    <row r="26" spans="1:10">
      <c r="A26">
        <v>5</v>
      </c>
      <c r="B26" t="s">
        <v>24</v>
      </c>
      <c r="C26" t="s">
        <v>24</v>
      </c>
      <c r="D26" t="s">
        <v>24</v>
      </c>
      <c r="E26" t="s">
        <v>24</v>
      </c>
      <c r="F26" t="s">
        <v>24</v>
      </c>
    </row>
  </sheetData>
  <phoneticPr fontId="3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全體計算器</vt:lpstr>
      <vt:lpstr>自輸ytm計算器</vt:lpstr>
      <vt:lpstr>自輸spotrate計算器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2020-04-03T03:02:29Z</dcterms:created>
  <dcterms:modified xsi:type="dcterms:W3CDTF">2020-04-03T08:39:00Z</dcterms:modified>
</cp:coreProperties>
</file>