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AFE4B48-0B97-402C-A6E3-CC56825C0B2A}" xr6:coauthVersionLast="36" xr6:coauthVersionMax="36" xr10:uidLastSave="{00000000-0000-0000-0000-000000000000}"/>
  <bookViews>
    <workbookView xWindow="0" yWindow="0" windowWidth="23040" windowHeight="9000" xr2:uid="{837F9033-52D6-48C4-B64D-768A1C49D857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18" i="1"/>
  <c r="C17" i="1"/>
  <c r="C16" i="1"/>
  <c r="C15" i="1"/>
  <c r="C14" i="1"/>
  <c r="C13" i="1"/>
  <c r="C12" i="1"/>
  <c r="C11" i="1"/>
  <c r="C10" i="1"/>
  <c r="C9" i="1"/>
  <c r="C8" i="1"/>
  <c r="H5" i="1" l="1"/>
  <c r="C7" i="1"/>
  <c r="C6" i="1"/>
  <c r="C4" i="1"/>
  <c r="E4" i="1"/>
</calcChain>
</file>

<file path=xl/sharedStrings.xml><?xml version="1.0" encoding="utf-8"?>
<sst xmlns="http://schemas.openxmlformats.org/spreadsheetml/2006/main" count="14" uniqueCount="14">
  <si>
    <t>現價</t>
    <phoneticPr fontId="1" type="noConversion"/>
  </si>
  <si>
    <t>年化波動度</t>
    <phoneticPr fontId="1" type="noConversion"/>
  </si>
  <si>
    <t>履約價格</t>
    <phoneticPr fontId="1" type="noConversion"/>
  </si>
  <si>
    <t>一年幾次股利</t>
    <phoneticPr fontId="1" type="noConversion"/>
  </si>
  <si>
    <t>一次發多少</t>
    <phoneticPr fontId="1" type="noConversion"/>
  </si>
  <si>
    <t>無風險利率</t>
    <phoneticPr fontId="1" type="noConversion"/>
  </si>
  <si>
    <t>距到期幾年</t>
    <phoneticPr fontId="1" type="noConversion"/>
  </si>
  <si>
    <t>股利現值</t>
    <phoneticPr fontId="1" type="noConversion"/>
  </si>
  <si>
    <t>Shat</t>
    <phoneticPr fontId="1" type="noConversion"/>
  </si>
  <si>
    <t>put price:</t>
    <phoneticPr fontId="1" type="noConversion"/>
  </si>
  <si>
    <t>call price:</t>
    <phoneticPr fontId="1" type="noConversion"/>
  </si>
  <si>
    <t>期數</t>
    <phoneticPr fontId="1" type="noConversion"/>
  </si>
  <si>
    <t>股利發放月數</t>
    <phoneticPr fontId="1" type="noConversion"/>
  </si>
  <si>
    <t>每期股利現值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</si>
</sst>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12"/>
      <color theme="0" tint="-0.249977111117893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2" xfId="0" applyFont="1" applyBorder="1">
      <alignment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7620</xdr:rowOff>
        </xdr:from>
        <xdr:to>
          <xdr:col>10</xdr:col>
          <xdr:colOff>129540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27A00-53F2-47CA-9271-2EE3775AC3B4}">
  <sheetPr codeName="工作表1"/>
  <dimension ref="A1:H19"/>
  <sheetViews>
    <sheetView tabSelected="1" workbookViewId="0">
      <selection activeCell="F18" sqref="F18"/>
    </sheetView>
  </sheetViews>
  <sheetFormatPr defaultRowHeight="16.2" x14ac:dyDescent="0.3"/>
  <cols>
    <col min="1" max="1" width="14.5546875" customWidth="1"/>
    <col min="2" max="2" width="15.5546875" customWidth="1"/>
    <col min="3" max="3" width="14.21875" customWidth="1"/>
    <col min="4" max="4" width="16" customWidth="1"/>
    <col min="5" max="5" width="11.33203125" customWidth="1"/>
    <col min="6" max="6" width="15.6640625" customWidth="1"/>
    <col min="7" max="7" width="12.109375" customWidth="1"/>
  </cols>
  <sheetData>
    <row r="1" spans="1:8" x14ac:dyDescent="0.3">
      <c r="A1" t="s">
        <v>0</v>
      </c>
      <c r="B1" t="s">
        <v>5</v>
      </c>
      <c r="C1" t="s">
        <v>1</v>
      </c>
      <c r="D1" t="s">
        <v>6</v>
      </c>
      <c r="E1" t="s">
        <v>2</v>
      </c>
      <c r="F1" t="s">
        <v>3</v>
      </c>
      <c r="G1" t="s">
        <v>4</v>
      </c>
    </row>
    <row r="2" spans="1:8" x14ac:dyDescent="0.3">
      <c r="A2" s="3">
        <v>75</v>
      </c>
      <c r="B2" s="3">
        <v>0.06</v>
      </c>
      <c r="C2" s="3">
        <v>0.35</v>
      </c>
      <c r="D2" s="3">
        <v>0.5</v>
      </c>
      <c r="E2" s="3">
        <v>65</v>
      </c>
      <c r="F2" s="3">
        <v>4</v>
      </c>
      <c r="G2" s="3">
        <v>1</v>
      </c>
    </row>
    <row r="3" spans="1:8" ht="16.8" thickBot="1" x14ac:dyDescent="0.35"/>
    <row r="4" spans="1:8" ht="16.8" thickBot="1" x14ac:dyDescent="0.35">
      <c r="B4" s="2" t="s">
        <v>10</v>
      </c>
      <c r="C4" s="4">
        <f>BSECall(E2,B2,C2,D2,H5)</f>
        <v>12.05208209812487</v>
      </c>
      <c r="D4" s="2" t="s">
        <v>9</v>
      </c>
      <c r="E4" s="4">
        <f>BSEPut(E2,B2,C2,D2,H5)</f>
        <v>3.1062529312773393</v>
      </c>
      <c r="G4" t="s">
        <v>7</v>
      </c>
      <c r="H4" t="s">
        <v>8</v>
      </c>
    </row>
    <row r="5" spans="1:8" x14ac:dyDescent="0.3">
      <c r="A5" s="1" t="s">
        <v>11</v>
      </c>
      <c r="B5" t="s">
        <v>12</v>
      </c>
      <c r="C5" t="s">
        <v>13</v>
      </c>
      <c r="G5">
        <v>2.9752111524994378</v>
      </c>
      <c r="H5">
        <f>A2-G5</f>
        <v>72.02478884750056</v>
      </c>
    </row>
    <row r="6" spans="1:8" x14ac:dyDescent="0.3">
      <c r="A6">
        <v>1</v>
      </c>
      <c r="B6">
        <v>1</v>
      </c>
      <c r="C6">
        <f>G2*EXP(-B2*B6/12)</f>
        <v>0.99501247919268232</v>
      </c>
    </row>
    <row r="7" spans="1:8" x14ac:dyDescent="0.3">
      <c r="A7">
        <v>2</v>
      </c>
      <c r="B7">
        <v>4</v>
      </c>
      <c r="C7">
        <f>G2*EXP(-B2*B7/12)</f>
        <v>0.98019867330675525</v>
      </c>
    </row>
    <row r="8" spans="1:8" x14ac:dyDescent="0.3">
      <c r="C8" s="5">
        <f>G2*EXP(-B2*B8/12)</f>
        <v>1</v>
      </c>
    </row>
    <row r="9" spans="1:8" x14ac:dyDescent="0.3">
      <c r="C9" s="5">
        <f>G2*EXP(-B2*B9/12)</f>
        <v>1</v>
      </c>
    </row>
    <row r="10" spans="1:8" x14ac:dyDescent="0.3">
      <c r="C10" s="5">
        <f>G2*EXP(-B2*B10/12)</f>
        <v>1</v>
      </c>
    </row>
    <row r="11" spans="1:8" x14ac:dyDescent="0.3">
      <c r="C11" s="5">
        <f>G2*EXP(-B2*B11/12)</f>
        <v>1</v>
      </c>
    </row>
    <row r="12" spans="1:8" x14ac:dyDescent="0.3">
      <c r="C12" s="5">
        <f>G2*EXP(-B2*B12/12)</f>
        <v>1</v>
      </c>
    </row>
    <row r="13" spans="1:8" x14ac:dyDescent="0.3">
      <c r="C13" s="5">
        <f>G2*EXP(-B2*B13/12)</f>
        <v>1</v>
      </c>
    </row>
    <row r="14" spans="1:8" x14ac:dyDescent="0.3">
      <c r="C14" s="5">
        <f>G2*EXP(-B2*B14/12)</f>
        <v>1</v>
      </c>
    </row>
    <row r="15" spans="1:8" x14ac:dyDescent="0.3">
      <c r="C15" s="5">
        <f>G2*EXP(-B2*B15/12)</f>
        <v>1</v>
      </c>
    </row>
    <row r="16" spans="1:8" x14ac:dyDescent="0.3">
      <c r="C16" s="5">
        <f>G2*EXP(-B2*B16/12)</f>
        <v>1</v>
      </c>
    </row>
    <row r="17" spans="3:3" x14ac:dyDescent="0.3">
      <c r="C17" s="5">
        <f>G2*EXP(-B2*B17/12)</f>
        <v>1</v>
      </c>
    </row>
    <row r="18" spans="3:3" x14ac:dyDescent="0.3">
      <c r="C18" s="5">
        <f>G2*EXP(-B2*B18/12)</f>
        <v>1</v>
      </c>
    </row>
    <row r="19" spans="3:3" x14ac:dyDescent="0.3">
      <c r="C19" s="5">
        <f>G2*EXP(-B2*B19/12)</f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按鈕1_Click">
                <anchor moveWithCells="1" sizeWithCells="1">
                  <from>
                    <xdr:col>9</xdr:col>
                    <xdr:colOff>38100</xdr:colOff>
                    <xdr:row>3</xdr:row>
                    <xdr:rowOff>7620</xdr:rowOff>
                  </from>
                  <to>
                    <xdr:col>10</xdr:col>
                    <xdr:colOff>129540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2020-04-28T12:51:18Z</dcterms:created>
  <dcterms:modified xsi:type="dcterms:W3CDTF">2020-04-29T08:29:42Z</dcterms:modified>
</cp:coreProperties>
</file>